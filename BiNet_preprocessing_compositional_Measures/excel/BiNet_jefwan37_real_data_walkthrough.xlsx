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4d67d2b42e46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bae532c1d6f44c2"/>
    <x:sheet xmlns:r="http://schemas.openxmlformats.org/officeDocument/2006/relationships" name="Raw_Flags" sheetId="2" r:id="R453ae92959d34bc2"/>
    <x:sheet xmlns:r="http://schemas.openxmlformats.org/officeDocument/2006/relationships" name="Tidy_Alter" sheetId="3" r:id="R3f1de023b6af41bb"/>
    <x:sheet xmlns:r="http://schemas.openxmlformats.org/officeDocument/2006/relationships" name="Fig5_Source" sheetId="4" r:id="R420216228627466f"/>
    <x:sheet xmlns:r="http://schemas.openxmlformats.org/officeDocument/2006/relationships" name="Fig6_Source" sheetId="5" r:id="R74459f94dd1d4838"/>
    <x:sheet xmlns:r="http://schemas.openxmlformats.org/officeDocument/2006/relationships" name="Fig7_Summary" sheetId="6" r:id="Re12711c3a38f4dc4"/>
    <x:sheet xmlns:r="http://schemas.openxmlformats.org/officeDocument/2006/relationships" name="Alter_Edges" sheetId="7" r:id="R3249f3465ac44b14"/>
    <x:sheet xmlns:r="http://schemas.openxmlformats.org/officeDocument/2006/relationships" name="Quality_Checks" sheetId="8" r:id="R831cfcf558dc4c0b"/>
  </x:sheets>
</x:workbook>
</file>

<file path=xl/comments1.xml><?xml version="1.0" encoding="utf-8"?>
<x:comments xmlns:x="http://schemas.openxmlformats.org/spreadsheetml/2006/main">
  <x:authors>
    <x:author>tc={9DEF8FB5-F567-9B38-3900-68C9B8ED063C}</x:author>
  </x:authors>
  <x:commentList>
    <x:comment ref="A10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Sanity check added after Anne flagged a monolingual dyad with a CS value in the earlier respondent. jefwan37 has no such conflicts.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6">
    <x:font>
      <x:sz val="11"/>
      <x:name val="Carlito"/>
    </x:font>
    <x:font>
      <x:sz val="10"/>
      <x:color rgb="FF202124"/>
      <x:name val="Arial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b/>
      <x:sz val="10"/>
      <x:color rgb="FF444444"/>
      <x:name val="Arial"/>
    </x:font>
    <x:font>
      <x:b/>
      <x:sz val="12"/>
      <x:color rgb="FF202124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32323"/>
      </x:patternFill>
    </x:fill>
    <x:fill>
      <x:patternFill patternType="solid">
        <x:fgColor rgb="FF444444"/>
      </x:patternFill>
    </x:fill>
    <x:fill>
      <x:patternFill patternType="solid">
        <x:fgColor rgb="FFF2F2F2"/>
      </x:patternFill>
    </x:fill>
    <x:fill>
      <x:patternFill patternType="solid">
        <x:fgColor rgb="FFFFF3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7D7D7"/>
      </x:left>
      <x:right style="thin">
        <x:color rgb="FFD7D7D7"/>
      </x:right>
      <x:top style="thin">
        <x:color rgb="FFD7D7D7"/>
      </x:top>
      <x:bottom style="thin">
        <x:color rgb="FFD7D7D7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2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200" fontId="1" fillId="2" borderId="2" xfId="0" applyNumberFormat="1" applyFont="1" applyFill="1" applyBorder="1" applyAlignment="1">
      <x:alignment vertical="center"/>
    </x:xf>
    <x:xf numFmtId="201" fontId="1" fillId="2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22">
    <x:dxf>
      <x:font>
        <x:b/>
        <x:color rgb="FF11845B"/>
      </x:font>
      <x:fill>
        <x:patternFill patternType="solid">
          <x:bgColor rgb="FFE3F4E9"/>
        </x:patternFill>
      </x:fill>
    </x:dxf>
    <x:dxf>
      <x:font>
        <x:color rgb="FF777777"/>
      </x:font>
      <x:fill>
        <x:patternFill patternType="solid">
          <x:bgColor rgb="FFF2F2F2"/>
        </x:patternFill>
      </x:fill>
    </x:dxf>
    <x:dxf>
      <x:font>
        <x:b/>
        <x:color rgb="FF202124"/>
      </x:font>
      <x:fill>
        <x:patternFill patternType="solid">
          <x:bgColor rgb="FFA5C9E6"/>
        </x:patternFill>
      </x:fill>
    </x:dxf>
    <x:dxf>
      <x:font>
        <x:b/>
        <x:color rgb="FFFFFFFF"/>
      </x:font>
      <x:fill>
        <x:patternFill patternType="solid">
          <x:bgColor rgb="FFEF382A"/>
        </x:patternFill>
      </x:fill>
    </x:dxf>
    <x:dxf>
      <x:font>
        <x:b/>
        <x:color rgb="FFFFFFFF"/>
      </x:font>
      <x:fill>
        <x:patternFill patternType="solid">
          <x:bgColor rgb="FF356D9A"/>
        </x:patternFill>
      </x:fill>
    </x:dxf>
    <x:dxf>
      <x:font>
        <x:b/>
        <x:color rgb="FF202124"/>
      </x:font>
      <x:fill>
        <x:patternFill patternType="solid">
          <x:bgColor rgb="FFDFA21C"/>
        </x:patternFill>
      </x:fill>
    </x:dxf>
    <x:dxf>
      <x:font>
        <x:b/>
        <x:color rgb="FF202124"/>
      </x:font>
      <x:fill>
        <x:patternFill patternType="solid">
          <x:bgColor rgb="FFD96570"/>
        </x:patternFill>
      </x:fill>
    </x:dxf>
    <x:dxf>
      <x:font>
        <x:b/>
        <x:color rgb="FF202124"/>
      </x:font>
      <x:fill>
        <x:patternFill patternType="solid">
          <x:bgColor rgb="FF2FA193"/>
        </x:patternFill>
      </x:fill>
    </x:dxf>
    <x:dxf>
      <x:font>
        <x:b/>
        <x:color rgb="FF202124"/>
      </x:font>
      <x:fill>
        <x:patternFill patternType="solid">
          <x:bgColor rgb="FF8FB47F"/>
        </x:patternFill>
      </x:fill>
    </x:dxf>
    <x:dxf>
      <x:font>
        <x:b/>
        <x:color rgb="FF202124"/>
      </x:font>
      <x:fill>
        <x:patternFill patternType="solid">
          <x:bgColor rgb="FFA5C9E6"/>
        </x:patternFill>
      </x:fill>
    </x:dxf>
    <x:dxf>
      <x:font>
        <x:b/>
        <x:color rgb="FFFFFFFF"/>
      </x:font>
      <x:fill>
        <x:patternFill patternType="solid">
          <x:bgColor rgb="FFEF382A"/>
        </x:patternFill>
      </x:fill>
    </x:dxf>
    <x:dxf>
      <x:font>
        <x:b/>
        <x:color rgb="FFFFFFFF"/>
      </x:font>
      <x:fill>
        <x:patternFill patternType="solid">
          <x:bgColor rgb="FF356D9A"/>
        </x:patternFill>
      </x:fill>
    </x:dxf>
    <x:dxf>
      <x:font>
        <x:b/>
        <x:color rgb="FF202124"/>
      </x:font>
      <x:fill>
        <x:patternFill patternType="solid">
          <x:bgColor rgb="FFDFA21C"/>
        </x:patternFill>
      </x:fill>
    </x:dxf>
    <x:dxf>
      <x:font>
        <x:b/>
        <x:color rgb="FF202124"/>
      </x:font>
      <x:fill>
        <x:patternFill patternType="solid">
          <x:bgColor rgb="FFD96570"/>
        </x:patternFill>
      </x:fill>
    </x:dxf>
    <x:dxf>
      <x:font>
        <x:b/>
        <x:color rgb="FF202124"/>
      </x:font>
      <x:fill>
        <x:patternFill patternType="solid">
          <x:bgColor rgb="FF2FA193"/>
        </x:patternFill>
      </x:fill>
    </x:dxf>
    <x:dxf>
      <x:font>
        <x:b/>
        <x:color rgb="FF202124"/>
      </x:font>
      <x:fill>
        <x:patternFill patternType="solid">
          <x:bgColor rgb="FF8FB47F"/>
        </x:patternFill>
      </x:fill>
    </x:dxf>
    <x:dxf>
      <x:font>
        <x:b/>
        <x:color rgb="FF202124"/>
      </x:font>
      <x:fill>
        <x:patternFill patternType="solid">
          <x:bgColor rgb="FFDFA21C"/>
        </x:patternFill>
      </x:fill>
    </x:dxf>
    <x:dxf>
      <x:font>
        <x:b/>
        <x:color rgb="FF202124"/>
      </x:font>
      <x:fill>
        <x:patternFill patternType="solid">
          <x:bgColor rgb="FFD96570"/>
        </x:patternFill>
      </x:fill>
    </x:dxf>
    <x:dxf>
      <x:font>
        <x:b/>
        <x:color rgb="FF202124"/>
      </x:font>
      <x:fill>
        <x:patternFill patternType="solid">
          <x:bgColor rgb="FF2FA193"/>
        </x:patternFill>
      </x:fill>
    </x:dxf>
    <x:dxf>
      <x:font>
        <x:b/>
        <x:color rgb="FF202124"/>
      </x:font>
      <x:fill>
        <x:patternFill patternType="solid">
          <x:bgColor rgb="FF8FB47F"/>
        </x:patternFill>
      </x:fill>
    </x:dxf>
    <x:dxf>
      <x:font>
        <x:b/>
        <x:color rgb="FF11845B"/>
      </x:font>
      <x:fill>
        <x:patternFill patternType="solid">
          <x:bgColor rgb="FFE3F4E9"/>
        </x:patternFill>
      </x:fill>
    </x:dxf>
    <x:dxf>
      <x:font>
        <x:b/>
        <x:color rgb="FFB00020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3730f316604ec4" /><Relationship Type="http://schemas.openxmlformats.org/officeDocument/2006/relationships/theme" Target="/xl/theme/theme1.xml" Id="R1ad4190a64384652" /><Relationship Type="http://schemas.microsoft.com/office/2022/11/relationships/FeaturePropertyBag" Target="/xl/featurePropertyBag/featurePropertyBag.xml" Id="R58dbb178978241e0" /><Relationship Type="http://schemas.openxmlformats.org/officeDocument/2006/relationships/sharedStrings" Target="/xl/sharedStrings.xml" Id="Rf86cec44a5e94ed4" /><Relationship Type="http://schemas.openxmlformats.org/officeDocument/2006/relationships/worksheet" Target="/xl/worksheets/sheet1.xml" Id="R5bae532c1d6f44c2" /><Relationship Type="http://schemas.openxmlformats.org/officeDocument/2006/relationships/worksheet" Target="/xl/worksheets/sheet2.xml" Id="R453ae92959d34bc2" /><Relationship Type="http://schemas.openxmlformats.org/officeDocument/2006/relationships/worksheet" Target="/xl/worksheets/sheet3.xml" Id="R3f1de023b6af41bb" /><Relationship Type="http://schemas.openxmlformats.org/officeDocument/2006/relationships/worksheet" Target="/xl/worksheets/sheet4.xml" Id="R420216228627466f" /><Relationship Type="http://schemas.openxmlformats.org/officeDocument/2006/relationships/worksheet" Target="/xl/worksheets/sheet5.xml" Id="R74459f94dd1d4838" /><Relationship Type="http://schemas.openxmlformats.org/officeDocument/2006/relationships/worksheet" Target="/xl/worksheets/sheet6.xml" Id="Re12711c3a38f4dc4" /><Relationship Type="http://schemas.openxmlformats.org/officeDocument/2006/relationships/worksheet" Target="/xl/worksheets/sheet7.xml" Id="R3249f3465ac44b14" /><Relationship Type="http://schemas.openxmlformats.org/officeDocument/2006/relationships/worksheet" Target="/xl/worksheets/sheet8.xml" Id="R831cfcf558dc4c0b" /><Relationship Type="http://schemas.microsoft.com/office/2017/10/relationships/person" Target="/xl/persons/person.xml" Id="R2701fbd52fa04e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Zoey" id="{D53B4F44-880A-4BBF-BE3E-59F2BB50B76F}"/>
</xltc:personList>
</file>

<file path=xl/tables/table1.xml><?xml version="1.0" encoding="utf-8"?>
<x:table xmlns:x="http://schemas.openxmlformats.org/spreadsheetml/2006/main" id="1" name="RawFlagsJefwan37" displayName="RawFlagsJefwan37" ref="A3:P18" headerRowCount="1" totalsRowCount="0" totalsRowShown="0">
  <x:tableColumns count="16">
    <x:tableColumn id="1" name="participant_id"/>
    <x:tableColumn id="2" name="alter_label"/>
    <x:tableColumn id="3" name="nodeID"/>
    <x:tableColumn id="4" name="household"/>
    <x:tableColumn id="5" name="extended_family"/>
    <x:tableColumn id="6" name="community"/>
    <x:tableColumn id="7" name="school"/>
    <x:tableColumn id="8" name="work"/>
    <x:tableColumn id="9" name="social"/>
    <x:tableColumn id="10" name="alter_knows_Mandarin"/>
    <x:tableColumn id="11" name="alter_knows_English"/>
    <x:tableColumn id="12" name="ego_uses_Mandarin"/>
    <x:tableColumn id="13" name="ego_uses_English"/>
    <x:tableColumn id="14" name="emotional_closeness"/>
    <x:tableColumn id="15" name="interaction_frequency"/>
    <x:tableColumn id="16" name="codeswitching_frequenc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idyAlterJefwan37" displayName="TidyAlterJefwan37" ref="A3:N18" headerRowCount="1" totalsRowCount="0" totalsRowShown="0">
  <x:tableColumns count="14">
    <x:tableColumn id="1" name="participant_id"/>
    <x:tableColumn id="2" name="alter_label"/>
    <x:tableColumn id="3" name="nodeID"/>
    <x:tableColumn id="4" name="languageKnownCategory"/>
    <x:tableColumn id="5" name="languageUsedCategory"/>
    <x:tableColumn id="6" name="interaction_context"/>
    <x:tableColumn id="7" name="emotional_closeness"/>
    <x:tableColumn id="8" name="interaction_frequency"/>
    <x:tableColumn id="9" name="codeswitching_frequency"/>
    <x:tableColumn id="10" name="alter_knows_Mandarin"/>
    <x:tableColumn id="11" name="alter_knows_English"/>
    <x:tableColumn id="12" name="ego_uses_Mandarin"/>
    <x:tableColumn id="13" name="ego_uses_English"/>
    <x:tableColumn id="14" name="codeswitching_frequency_glob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lterEdgesJefwan37" displayName="AlterEdgesJefwan37" ref="A3:B24" headerRowCount="1" totalsRowCount="0" totalsRowShown="0">
  <x:tableColumns count="2">
    <x:tableColumn id="1" name="source"/>
    <x:tableColumn id="2" name="targ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0" dT="2026-08-15T01:21:52.52" personId="{D53B4F44-880A-4BBF-BE3E-59F2BB50B76F}" id="{9DEF8FB5-F567-9B38-3900-68C9B8ED063C}">
    <xltc:text>Sanity check added after Anne flagged a monolingual dyad with a CS value in the earlier respondent. jefwan37 has no such conflicts.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f915e9f2614f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88ba51238540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8b1de29ee5f848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1.xml" Id="R66f386c716494cdc" /><Relationship Type="http://schemas.openxmlformats.org/officeDocument/2006/relationships/vmlDrawing" Target="/xl/drawings/vmldrawing.vml" Id="R8bb1ce3ed0e6428c" /><Relationship Type="http://schemas.microsoft.com/office/2017/10/relationships/threadedComment" Target="/xl/threadedcomments/threadedcomment.xml" Id="Ra55a53c01e934b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5" t="str">
        <x:v>BiNet real-data walkthrough — respondent jefwan37</x:v>
      </x:c>
      <x:c r="B1" s="5" t="str">
        <x:v>BiNet real-data walkthrough — respondent jefwan37</x:v>
      </x:c>
      <x:c r="C1" s="5" t="str">
        <x:v>BiNet real-data walkthrough — respondent jefwan37</x:v>
      </x:c>
      <x:c r="D1" s="5" t="str">
        <x:v>BiNet real-data walkthrough — respondent jefwan37</x:v>
      </x:c>
      <x:c r="E1" s="5" t="str">
        <x:v>BiNet real-data walkthrough — respondent jefwan37</x:v>
      </x:c>
      <x:c r="F1" s="5" t="str">
        <x:v>BiNet real-data walkthrough — respondent jefwan37</x:v>
      </x:c>
      <x:c r="G1" s="5" t="str">
        <x:v>BiNet real-data walkthrough — respondent jefwan37</x:v>
      </x:c>
      <x:c r="H1" s="5" t="str">
        <x:v>BiNet real-data walkthrough — respondent jefwan37</x:v>
      </x:c>
    </x:row>
    <x:row r="2">
      <x:c r="A2" s="2"/>
      <x:c r="B2" s="2"/>
      <x:c r="C2" s="2"/>
      <x:c r="D2" s="2"/>
      <x:c r="E2" s="2"/>
      <x:c r="F2" s="2"/>
      <x:c r="G2" s="2"/>
      <x:c r="H2" s="2"/>
    </x:row>
    <x:row r="3" ht="34" customHeight="1">
      <x:c r="A3" s="11" t="str">
        <x:v>Item</x:v>
      </x:c>
      <x:c r="B3" s="11" t="str">
        <x:v>Details</x:v>
      </x:c>
      <x:c r="C3" s="2"/>
      <x:c r="D3" s="2"/>
      <x:c r="E3" s="2"/>
      <x:c r="F3" s="2"/>
      <x:c r="G3" s="2"/>
      <x:c r="H3" s="2"/>
    </x:row>
    <x:row r="4">
      <x:c r="A4" s="14" t="str">
        <x:v>Respondent</x:v>
      </x:c>
      <x:c r="B4" s="15" t="str">
        <x:v>jefwan37</x:v>
      </x:c>
      <x:c r="C4" s="2"/>
      <x:c r="D4" s="2"/>
      <x:c r="E4" s="2"/>
      <x:c r="F4" s="2"/>
      <x:c r="G4" s="2"/>
      <x:c r="H4" s="2"/>
    </x:row>
    <x:row r="5">
      <x:c r="A5" s="14" t="str">
        <x:v>Observed data</x:v>
      </x:c>
      <x:c r="B5" s="15" t="str">
        <x:v>15 alters, 15 ego–alter ties, and 21 reported alter–alter ties</x:v>
      </x:c>
      <x:c r="C5" s="2"/>
      <x:c r="D5" s="2"/>
      <x:c r="E5" s="2"/>
      <x:c r="F5" s="2"/>
      <x:c r="G5" s="2"/>
      <x:c r="H5" s="2"/>
    </x:row>
    <x:row r="6">
      <x:c r="A6" s="14" t="str">
        <x:v>Figure linkage</x:v>
      </x:c>
      <x:c r="B6" s="15" t="str">
        <x:v>Figs. 5–7 use the same nodeIDs: 2, 3, 5, 8, and 14</x:v>
      </x:c>
      <x:c r="C6" s="2"/>
      <x:c r="D6" s="2"/>
      <x:c r="E6" s="2"/>
      <x:c r="F6" s="2"/>
      <x:c r="G6" s="2"/>
      <x:c r="H6" s="2"/>
    </x:row>
    <x:row r="7">
      <x:c r="A7" s="14" t="str">
        <x:v>Language counts</x:v>
      </x:c>
      <x:c r="B7" s="15" t="str">
        <x:v>Mandarin-only = 3; English-only = 5; Mandarin–English = 7</x:v>
      </x:c>
      <x:c r="C7" s="2"/>
      <x:c r="D7" s="2"/>
      <x:c r="E7" s="2"/>
      <x:c r="F7" s="2"/>
      <x:c r="G7" s="2"/>
      <x:c r="H7" s="2"/>
    </x:row>
    <x:row r="8">
      <x:c r="A8" s="14" t="str">
        <x:v>Context counts</x:v>
      </x:c>
      <x:c r="B8" s="15" t="str">
        <x:v>family = 4; social = 6; community = 4; school = 1; work = 0</x:v>
      </x:c>
      <x:c r="C8" s="2"/>
      <x:c r="D8" s="2"/>
      <x:c r="E8" s="2"/>
      <x:c r="F8" s="2"/>
      <x:c r="G8" s="2"/>
      <x:c r="H8" s="2"/>
    </x:row>
    <x:row r="9">
      <x:c r="A9" s="14" t="str">
        <x:v>CS audit</x:v>
      </x:c>
      <x:c r="B9" s="15" t="str">
        <x:v>7 reported ratings on Mandarin–English dyads; 8 monolingual dyads are coded 0 for the global and context-specific means</x:v>
      </x:c>
      <x:c r="C9" s="2"/>
      <x:c r="D9" s="2"/>
      <x:c r="E9" s="2"/>
      <x:c r="F9" s="2"/>
      <x:c r="G9" s="2"/>
      <x:c r="H9" s="2"/>
    </x:row>
    <x:row r="10">
      <x:c r="A10" s="14" t="str">
        <x:v>Privacy</x:v>
      </x:c>
      <x:c r="B10" s="15" t="str">
        <x:v>Direct names and UUIDs are omitted; A01–A15 preserve row linkage</x:v>
      </x:c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17" t="str">
        <x:v>Input → transformation → measures / visualization → interpretation</x:v>
      </x:c>
      <x:c r="B12" s="17"/>
      <x:c r="C12" s="17"/>
      <x:c r="D12" s="17"/>
      <x:c r="E12" s="17"/>
      <x:c r="F12" s="17"/>
      <x:c r="G12" s="17"/>
      <x:c r="H12" s="17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1" t="str">
        <x:v>INPUT</x:v>
      </x:c>
      <x:c r="B14" s="21" t="str">
        <x:v>→</x:v>
      </x:c>
      <x:c r="C14" s="21" t="str">
        <x:v>TRANSFORMATION</x:v>
      </x:c>
      <x:c r="D14" s="21" t="str">
        <x:v>→</x:v>
      </x:c>
      <x:c r="E14" s="21" t="str">
        <x:v>MEASURES</x:v>
      </x:c>
      <x:c r="F14" s="21" t="str">
        <x:v>→</x:v>
      </x:c>
      <x:c r="G14" s="21" t="str">
        <x:v>INTERPRETATION</x:v>
      </x:c>
      <x:c r="H14" s="21" t="str"/>
    </x:row>
    <x:row r="15">
      <x:c r="A15" s="22" t="str">
        <x:v>Raw_Flags</x:v>
      </x:c>
      <x:c r="B15" s="22" t="str"/>
      <x:c r="C15" s="22" t="str">
        <x:v>Tidy_Alter</x:v>
      </x:c>
      <x:c r="D15" s="22" t="str"/>
      <x:c r="E15" s="22" t="str">
        <x:v>Fig5/6/7_Source</x:v>
      </x:c>
      <x:c r="F15" s="22" t="str"/>
      <x:c r="G15" s="22" t="str">
        <x:v>Context-specific narrative</x:v>
      </x:c>
      <x:c r="H15" s="22" t="str"/>
    </x:row>
    <x:row r="16">
      <x:c r="A16" s="22" t="str">
        <x:v>Alter_Edges</x:v>
      </x:c>
      <x:c r="B16" s="22" t="str"/>
      <x:c r="C16" s="22" t="str">
        <x:v>formula-driven recodes</x:v>
      </x:c>
      <x:c r="D16" s="22" t="str"/>
      <x:c r="E16" s="22" t="str">
        <x:v>Quality_Checks</x:v>
      </x:c>
      <x:c r="F16" s="22" t="str"/>
      <x:c r="G16" s="22" t="str">
        <x:v>descriptive example</x:v>
      </x:c>
      <x:c r="H16" s="22" t="str"/>
    </x:row>
    <x:row r="17">
      <x:c r="A17" s="22" t="str">
        <x:v>15 rows + 21 edges</x:v>
      </x:c>
      <x:c r="B17" s="22" t="str"/>
      <x:c r="C17" s="22" t="str">
        <x:v>one category per field</x:v>
      </x:c>
      <x:c r="D17" s="22" t="str"/>
      <x:c r="E17" s="22" t="str">
        <x:v>counts, means, cross-tab</x:v>
      </x:c>
      <x:c r="F17" s="22" t="str"/>
      <x:c r="G17" s="22" t="str">
        <x:v>not a substantive finding</x:v>
      </x:c>
      <x:c r="H17" s="22" t="str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</x:sheetData>
  <x:mergeCells>
    <x:mergeCell ref="A1:H1"/>
    <x:mergeCell ref="A12:H12"/>
    <x:mergeCell ref="G14:H14"/>
    <x:mergeCell ref="G15:H15"/>
    <x:mergeCell ref="G16:H16"/>
    <x:mergeCell ref="G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2" customHeight="1">
      <x:c r="A1" s="5" t="str">
        <x:v>Input: deidentified raw flags for jefwan37</x:v>
      </x:c>
      <x:c r="B1" s="5" t="str">
        <x:v>Input: deidentified raw flags for jefwan37</x:v>
      </x:c>
      <x:c r="C1" s="5" t="str">
        <x:v>Input: deidentified raw flags for jefwan37</x:v>
      </x:c>
      <x:c r="D1" s="5" t="str">
        <x:v>Input: deidentified raw flags for jefwan37</x:v>
      </x:c>
      <x:c r="E1" s="5" t="str">
        <x:v>Input: deidentified raw flags for jefwan37</x:v>
      </x:c>
      <x:c r="F1" s="5" t="str">
        <x:v>Input: deidentified raw flags for jefwan37</x:v>
      </x:c>
      <x:c r="G1" s="5" t="str">
        <x:v>Input: deidentified raw flags for jefwan37</x:v>
      </x:c>
      <x:c r="H1" s="5" t="str">
        <x:v>Input: deidentified raw flags for jefwan37</x:v>
      </x:c>
      <x:c r="I1" s="5" t="str">
        <x:v>Input: deidentified raw flags for jefwan37</x:v>
      </x:c>
      <x:c r="J1" s="5" t="str">
        <x:v>Input: deidentified raw flags for jefwan37</x:v>
      </x:c>
      <x:c r="K1" s="5" t="str">
        <x:v>Input: deidentified raw flags for jefwan37</x:v>
      </x:c>
      <x:c r="L1" s="5" t="str">
        <x:v>Input: deidentified raw flags for jefwan37</x:v>
      </x:c>
      <x:c r="M1" s="5" t="str">
        <x:v>Input: deidentified raw flags for jefwan37</x:v>
      </x:c>
      <x:c r="N1" s="5" t="str">
        <x:v>Input: deidentified raw flags for jefwan37</x:v>
      </x:c>
      <x:c r="O1" s="5" t="str">
        <x:v>Input: deidentified raw flags for jefwan37</x:v>
      </x:c>
      <x:c r="P1" s="5" t="str">
        <x:v>Input: deidentified raw flags for jefwan37</x:v>
      </x:c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34" customHeight="1">
      <x:c r="A3" s="11" t="str">
        <x:v>participant_id</x:v>
      </x:c>
      <x:c r="B3" s="11" t="str">
        <x:v>alter_label</x:v>
      </x:c>
      <x:c r="C3" s="11" t="str">
        <x:v>nodeID</x:v>
      </x:c>
      <x:c r="D3" s="11" t="str">
        <x:v>household</x:v>
      </x:c>
      <x:c r="E3" s="11" t="str">
        <x:v>extended_family</x:v>
      </x:c>
      <x:c r="F3" s="11" t="str">
        <x:v>community</x:v>
      </x:c>
      <x:c r="G3" s="11" t="str">
        <x:v>school</x:v>
      </x:c>
      <x:c r="H3" s="11" t="str">
        <x:v>work</x:v>
      </x:c>
      <x:c r="I3" s="11" t="str">
        <x:v>social</x:v>
      </x:c>
      <x:c r="J3" s="11" t="str">
        <x:v>alter_knows_Mandarin</x:v>
      </x:c>
      <x:c r="K3" s="11" t="str">
        <x:v>alter_knows_English</x:v>
      </x:c>
      <x:c r="L3" s="11" t="str">
        <x:v>ego_uses_Mandarin</x:v>
      </x:c>
      <x:c r="M3" s="11" t="str">
        <x:v>ego_uses_English</x:v>
      </x:c>
      <x:c r="N3" s="11" t="str">
        <x:v>emotional_closeness</x:v>
      </x:c>
      <x:c r="O3" s="11" t="str">
        <x:v>interaction_frequency</x:v>
      </x:c>
      <x:c r="P3" s="11" t="str">
        <x:v>codeswitching_frequency</x:v>
      </x:c>
    </x:row>
    <x:row r="4">
      <x:c r="A4" s="13" t="str">
        <x:v>jefwan37</x:v>
      </x:c>
      <x:c r="B4" s="13" t="str">
        <x:v>A01</x:v>
      </x:c>
      <x:c r="C4" s="13" t="n">
        <x:v>1</x:v>
      </x:c>
      <x:c r="D4" s="26" t="b">
        <x:v>1</x:v>
      </x:c>
      <x:c r="E4" s="26" t="b">
        <x:v>0</x:v>
      </x:c>
      <x:c r="F4" s="26" t="b">
        <x:v>0</x:v>
      </x:c>
      <x:c r="G4" s="26" t="b">
        <x:v>0</x:v>
      </x:c>
      <x:c r="H4" s="26" t="b">
        <x:v>0</x:v>
      </x:c>
      <x:c r="I4" s="26" t="b">
        <x:v>0</x:v>
      </x:c>
      <x:c r="J4" s="26" t="b">
        <x:v>1</x:v>
      </x:c>
      <x:c r="K4" s="26" t="b">
        <x:v>1</x:v>
      </x:c>
      <x:c r="L4" s="26" t="b">
        <x:v>1</x:v>
      </x:c>
      <x:c r="M4" s="26" t="b">
        <x:v>1</x:v>
      </x:c>
      <x:c r="N4" s="13" t="n">
        <x:v>4</x:v>
      </x:c>
      <x:c r="O4" s="13" t="n">
        <x:v>3</x:v>
      </x:c>
      <x:c r="P4" s="13" t="n">
        <x:v>2</x:v>
      </x:c>
    </x:row>
    <x:row r="5">
      <x:c r="A5" s="13" t="str">
        <x:v>jefwan37</x:v>
      </x:c>
      <x:c r="B5" s="13" t="str">
        <x:v>A02</x:v>
      </x:c>
      <x:c r="C5" s="13" t="n">
        <x:v>2</x:v>
      </x:c>
      <x:c r="D5" s="26" t="b">
        <x:v>1</x:v>
      </x:c>
      <x:c r="E5" s="26" t="b">
        <x:v>0</x:v>
      </x:c>
      <x:c r="F5" s="26" t="b">
        <x:v>0</x:v>
      </x:c>
      <x:c r="G5" s="26" t="b">
        <x:v>0</x:v>
      </x:c>
      <x:c r="H5" s="26" t="b">
        <x:v>0</x:v>
      </x:c>
      <x:c r="I5" s="26" t="b">
        <x:v>0</x:v>
      </x:c>
      <x:c r="J5" s="26" t="b">
        <x:v>1</x:v>
      </x:c>
      <x:c r="K5" s="26" t="b">
        <x:v>0</x:v>
      </x:c>
      <x:c r="L5" s="26" t="b">
        <x:v>1</x:v>
      </x:c>
      <x:c r="M5" s="26" t="b">
        <x:v>0</x:v>
      </x:c>
      <x:c r="N5" s="13" t="n">
        <x:v>4</x:v>
      </x:c>
      <x:c r="O5" s="13" t="n">
        <x:v>3</x:v>
      </x:c>
      <x:c r="P5" s="13"/>
    </x:row>
    <x:row r="6">
      <x:c r="A6" s="13" t="str">
        <x:v>jefwan37</x:v>
      </x:c>
      <x:c r="B6" s="13" t="str">
        <x:v>A03</x:v>
      </x:c>
      <x:c r="C6" s="13" t="n">
        <x:v>3</x:v>
      </x:c>
      <x:c r="D6" s="26" t="b">
        <x:v>1</x:v>
      </x:c>
      <x:c r="E6" s="26" t="b">
        <x:v>0</x:v>
      </x:c>
      <x:c r="F6" s="26" t="b">
        <x:v>0</x:v>
      </x:c>
      <x:c r="G6" s="26" t="b">
        <x:v>0</x:v>
      </x:c>
      <x:c r="H6" s="26" t="b">
        <x:v>0</x:v>
      </x:c>
      <x:c r="I6" s="26" t="b">
        <x:v>0</x:v>
      </x:c>
      <x:c r="J6" s="26" t="b">
        <x:v>1</x:v>
      </x:c>
      <x:c r="K6" s="26" t="b">
        <x:v>1</x:v>
      </x:c>
      <x:c r="L6" s="26" t="b">
        <x:v>0</x:v>
      </x:c>
      <x:c r="M6" s="26" t="b">
        <x:v>1</x:v>
      </x:c>
      <x:c r="N6" s="13" t="n">
        <x:v>4</x:v>
      </x:c>
      <x:c r="O6" s="13" t="n">
        <x:v>3</x:v>
      </x:c>
      <x:c r="P6" s="13"/>
    </x:row>
    <x:row r="7">
      <x:c r="A7" s="13" t="str">
        <x:v>jefwan37</x:v>
      </x:c>
      <x:c r="B7" s="13" t="str">
        <x:v>A04</x:v>
      </x:c>
      <x:c r="C7" s="13" t="n">
        <x:v>4</x:v>
      </x:c>
      <x:c r="D7" s="26" t="b">
        <x:v>0</x:v>
      </x:c>
      <x:c r="E7" s="26" t="b">
        <x:v>1</x:v>
      </x:c>
      <x:c r="F7" s="26" t="b">
        <x:v>0</x:v>
      </x:c>
      <x:c r="G7" s="26" t="b">
        <x:v>0</x:v>
      </x:c>
      <x:c r="H7" s="26" t="b">
        <x:v>0</x:v>
      </x:c>
      <x:c r="I7" s="26" t="b">
        <x:v>0</x:v>
      </x:c>
      <x:c r="J7" s="26" t="b">
        <x:v>1</x:v>
      </x:c>
      <x:c r="K7" s="26" t="b">
        <x:v>0</x:v>
      </x:c>
      <x:c r="L7" s="26" t="b">
        <x:v>1</x:v>
      </x:c>
      <x:c r="M7" s="26" t="b">
        <x:v>0</x:v>
      </x:c>
      <x:c r="N7" s="13" t="n">
        <x:v>4</x:v>
      </x:c>
      <x:c r="O7" s="13" t="n">
        <x:v>3</x:v>
      </x:c>
      <x:c r="P7" s="13"/>
    </x:row>
    <x:row r="8">
      <x:c r="A8" s="13" t="str">
        <x:v>jefwan37</x:v>
      </x:c>
      <x:c r="B8" s="13" t="str">
        <x:v>A05</x:v>
      </x:c>
      <x:c r="C8" s="13" t="n">
        <x:v>5</x:v>
      </x:c>
      <x:c r="D8" s="26" t="b">
        <x:v>0</x:v>
      </x:c>
      <x:c r="E8" s="26" t="b">
        <x:v>0</x:v>
      </x:c>
      <x:c r="F8" s="26" t="b">
        <x:v>0</x:v>
      </x:c>
      <x:c r="G8" s="26" t="b">
        <x:v>0</x:v>
      </x:c>
      <x:c r="H8" s="26" t="b">
        <x:v>0</x:v>
      </x:c>
      <x:c r="I8" s="26" t="b">
        <x:v>1</x:v>
      </x:c>
      <x:c r="J8" s="26" t="b">
        <x:v>1</x:v>
      </x:c>
      <x:c r="K8" s="26" t="b">
        <x:v>1</x:v>
      </x:c>
      <x:c r="L8" s="26" t="b">
        <x:v>1</x:v>
      </x:c>
      <x:c r="M8" s="26" t="b">
        <x:v>1</x:v>
      </x:c>
      <x:c r="N8" s="13" t="n">
        <x:v>5</x:v>
      </x:c>
      <x:c r="O8" s="13" t="n">
        <x:v>5</x:v>
      </x:c>
      <x:c r="P8" s="13" t="n">
        <x:v>4</x:v>
      </x:c>
    </x:row>
    <x:row r="9">
      <x:c r="A9" s="13" t="str">
        <x:v>jefwan37</x:v>
      </x:c>
      <x:c r="B9" s="13" t="str">
        <x:v>A06</x:v>
      </x:c>
      <x:c r="C9" s="13" t="n">
        <x:v>6</x:v>
      </x:c>
      <x:c r="D9" s="26" t="b">
        <x:v>0</x:v>
      </x:c>
      <x:c r="E9" s="26" t="b">
        <x:v>0</x:v>
      </x:c>
      <x:c r="F9" s="26" t="b">
        <x:v>1</x:v>
      </x:c>
      <x:c r="G9" s="26" t="b">
        <x:v>0</x:v>
      </x:c>
      <x:c r="H9" s="26" t="b">
        <x:v>0</x:v>
      </x:c>
      <x:c r="I9" s="26" t="b">
        <x:v>0</x:v>
      </x:c>
      <x:c r="J9" s="26" t="b">
        <x:v>0</x:v>
      </x:c>
      <x:c r="K9" s="26" t="b">
        <x:v>1</x:v>
      </x:c>
      <x:c r="L9" s="26" t="b">
        <x:v>0</x:v>
      </x:c>
      <x:c r="M9" s="26" t="b">
        <x:v>1</x:v>
      </x:c>
      <x:c r="N9" s="13" t="n">
        <x:v>5</x:v>
      </x:c>
      <x:c r="O9" s="13" t="n">
        <x:v>5</x:v>
      </x:c>
      <x:c r="P9" s="13"/>
    </x:row>
    <x:row r="10">
      <x:c r="A10" s="13" t="str">
        <x:v>jefwan37</x:v>
      </x:c>
      <x:c r="B10" s="13" t="str">
        <x:v>A07</x:v>
      </x:c>
      <x:c r="C10" s="13" t="n">
        <x:v>7</x:v>
      </x:c>
      <x:c r="D10" s="26" t="b">
        <x:v>0</x:v>
      </x:c>
      <x:c r="E10" s="26" t="b">
        <x:v>0</x:v>
      </x:c>
      <x:c r="F10" s="26" t="b">
        <x:v>1</x:v>
      </x:c>
      <x:c r="G10" s="26" t="b">
        <x:v>0</x:v>
      </x:c>
      <x:c r="H10" s="26" t="b">
        <x:v>0</x:v>
      </x:c>
      <x:c r="I10" s="26" t="b">
        <x:v>0</x:v>
      </x:c>
      <x:c r="J10" s="26" t="b">
        <x:v>0</x:v>
      </x:c>
      <x:c r="K10" s="26" t="b">
        <x:v>1</x:v>
      </x:c>
      <x:c r="L10" s="26" t="b">
        <x:v>0</x:v>
      </x:c>
      <x:c r="M10" s="26" t="b">
        <x:v>1</x:v>
      </x:c>
      <x:c r="N10" s="13" t="n">
        <x:v>4</x:v>
      </x:c>
      <x:c r="O10" s="13" t="n">
        <x:v>5</x:v>
      </x:c>
      <x:c r="P10" s="13"/>
    </x:row>
    <x:row r="11">
      <x:c r="A11" s="13" t="str">
        <x:v>jefwan37</x:v>
      </x:c>
      <x:c r="B11" s="13" t="str">
        <x:v>A08</x:v>
      </x:c>
      <x:c r="C11" s="13" t="n">
        <x:v>8</x:v>
      </x:c>
      <x:c r="D11" s="26" t="b">
        <x:v>0</x:v>
      </x:c>
      <x:c r="E11" s="26" t="b">
        <x:v>0</x:v>
      </x:c>
      <x:c r="F11" s="26" t="b">
        <x:v>1</x:v>
      </x:c>
      <x:c r="G11" s="26" t="b">
        <x:v>0</x:v>
      </x:c>
      <x:c r="H11" s="26" t="b">
        <x:v>0</x:v>
      </x:c>
      <x:c r="I11" s="26" t="b">
        <x:v>0</x:v>
      </x:c>
      <x:c r="J11" s="26" t="b">
        <x:v>1</x:v>
      </x:c>
      <x:c r="K11" s="26" t="b">
        <x:v>1</x:v>
      </x:c>
      <x:c r="L11" s="26" t="b">
        <x:v>1</x:v>
      </x:c>
      <x:c r="M11" s="26" t="b">
        <x:v>1</x:v>
      </x:c>
      <x:c r="N11" s="13" t="n">
        <x:v>3</x:v>
      </x:c>
      <x:c r="O11" s="13" t="n">
        <x:v>5</x:v>
      </x:c>
      <x:c r="P11" s="13" t="n">
        <x:v>4</x:v>
      </x:c>
    </x:row>
    <x:row r="12">
      <x:c r="A12" s="13" t="str">
        <x:v>jefwan37</x:v>
      </x:c>
      <x:c r="B12" s="13" t="str">
        <x:v>A09</x:v>
      </x:c>
      <x:c r="C12" s="13" t="n">
        <x:v>9</x:v>
      </x:c>
      <x:c r="D12" s="26" t="b">
        <x:v>0</x:v>
      </x:c>
      <x:c r="E12" s="26" t="b">
        <x:v>0</x:v>
      </x:c>
      <x:c r="F12" s="26" t="b">
        <x:v>1</x:v>
      </x:c>
      <x:c r="G12" s="26" t="b">
        <x:v>0</x:v>
      </x:c>
      <x:c r="H12" s="26" t="b">
        <x:v>0</x:v>
      </x:c>
      <x:c r="I12" s="26" t="b">
        <x:v>0</x:v>
      </x:c>
      <x:c r="J12" s="26" t="b">
        <x:v>1</x:v>
      </x:c>
      <x:c r="K12" s="26" t="b">
        <x:v>1</x:v>
      </x:c>
      <x:c r="L12" s="26" t="b">
        <x:v>1</x:v>
      </x:c>
      <x:c r="M12" s="26" t="b">
        <x:v>1</x:v>
      </x:c>
      <x:c r="N12" s="13" t="n">
        <x:v>2</x:v>
      </x:c>
      <x:c r="O12" s="13" t="n">
        <x:v>4</x:v>
      </x:c>
      <x:c r="P12" s="13" t="n">
        <x:v>4</x:v>
      </x:c>
    </x:row>
    <x:row r="13">
      <x:c r="A13" s="13" t="str">
        <x:v>jefwan37</x:v>
      </x:c>
      <x:c r="B13" s="13" t="str">
        <x:v>A10</x:v>
      </x:c>
      <x:c r="C13" s="13" t="n">
        <x:v>10</x:v>
      </x:c>
      <x:c r="D13" s="26" t="b">
        <x:v>0</x:v>
      </x:c>
      <x:c r="E13" s="26" t="b">
        <x:v>0</x:v>
      </x:c>
      <x:c r="F13" s="26" t="b">
        <x:v>0</x:v>
      </x:c>
      <x:c r="G13" s="26" t="b">
        <x:v>0</x:v>
      </x:c>
      <x:c r="H13" s="26" t="b">
        <x:v>0</x:v>
      </x:c>
      <x:c r="I13" s="26" t="b">
        <x:v>1</x:v>
      </x:c>
      <x:c r="J13" s="26" t="b">
        <x:v>1</x:v>
      </x:c>
      <x:c r="K13" s="26" t="b">
        <x:v>1</x:v>
      </x:c>
      <x:c r="L13" s="26" t="b">
        <x:v>1</x:v>
      </x:c>
      <x:c r="M13" s="26" t="b">
        <x:v>1</x:v>
      </x:c>
      <x:c r="N13" s="13" t="n">
        <x:v>4</x:v>
      </x:c>
      <x:c r="O13" s="13" t="n">
        <x:v>5</x:v>
      </x:c>
      <x:c r="P13" s="13" t="n">
        <x:v>3</x:v>
      </x:c>
    </x:row>
    <x:row r="14">
      <x:c r="A14" s="13" t="str">
        <x:v>jefwan37</x:v>
      </x:c>
      <x:c r="B14" s="13" t="str">
        <x:v>A11</x:v>
      </x:c>
      <x:c r="C14" s="13" t="n">
        <x:v>11</x:v>
      </x:c>
      <x:c r="D14" s="26" t="b">
        <x:v>0</x:v>
      </x:c>
      <x:c r="E14" s="26" t="b">
        <x:v>0</x:v>
      </x:c>
      <x:c r="F14" s="26" t="b">
        <x:v>0</x:v>
      </x:c>
      <x:c r="G14" s="26" t="b">
        <x:v>0</x:v>
      </x:c>
      <x:c r="H14" s="26" t="b">
        <x:v>0</x:v>
      </x:c>
      <x:c r="I14" s="26" t="b">
        <x:v>1</x:v>
      </x:c>
      <x:c r="J14" s="26" t="b">
        <x:v>1</x:v>
      </x:c>
      <x:c r="K14" s="26" t="b">
        <x:v>1</x:v>
      </x:c>
      <x:c r="L14" s="26" t="b">
        <x:v>1</x:v>
      </x:c>
      <x:c r="M14" s="26" t="b">
        <x:v>1</x:v>
      </x:c>
      <x:c r="N14" s="13" t="n">
        <x:v>5</x:v>
      </x:c>
      <x:c r="O14" s="13" t="n">
        <x:v>4</x:v>
      </x:c>
      <x:c r="P14" s="13" t="n">
        <x:v>4</x:v>
      </x:c>
    </x:row>
    <x:row r="15">
      <x:c r="A15" s="13" t="str">
        <x:v>jefwan37</x:v>
      </x:c>
      <x:c r="B15" s="13" t="str">
        <x:v>A12</x:v>
      </x:c>
      <x:c r="C15" s="13" t="n">
        <x:v>12</x:v>
      </x:c>
      <x:c r="D15" s="26" t="b">
        <x:v>0</x:v>
      </x:c>
      <x:c r="E15" s="26" t="b">
        <x:v>0</x:v>
      </x:c>
      <x:c r="F15" s="26" t="b">
        <x:v>0</x:v>
      </x:c>
      <x:c r="G15" s="26" t="b">
        <x:v>0</x:v>
      </x:c>
      <x:c r="H15" s="26" t="b">
        <x:v>0</x:v>
      </x:c>
      <x:c r="I15" s="26" t="b">
        <x:v>1</x:v>
      </x:c>
      <x:c r="J15" s="26" t="b">
        <x:v>1</x:v>
      </x:c>
      <x:c r="K15" s="26" t="b">
        <x:v>1</x:v>
      </x:c>
      <x:c r="L15" s="26" t="b">
        <x:v>1</x:v>
      </x:c>
      <x:c r="M15" s="26" t="b">
        <x:v>0</x:v>
      </x:c>
      <x:c r="N15" s="13" t="n">
        <x:v>4</x:v>
      </x:c>
      <x:c r="O15" s="13" t="n">
        <x:v>4</x:v>
      </x:c>
      <x:c r="P15" s="13"/>
    </x:row>
    <x:row r="16">
      <x:c r="A16" s="13" t="str">
        <x:v>jefwan37</x:v>
      </x:c>
      <x:c r="B16" s="13" t="str">
        <x:v>A13</x:v>
      </x:c>
      <x:c r="C16" s="13" t="n">
        <x:v>13</x:v>
      </x:c>
      <x:c r="D16" s="26" t="b">
        <x:v>0</x:v>
      </x:c>
      <x:c r="E16" s="26" t="b">
        <x:v>0</x:v>
      </x:c>
      <x:c r="F16" s="26" t="b">
        <x:v>0</x:v>
      </x:c>
      <x:c r="G16" s="26" t="b">
        <x:v>0</x:v>
      </x:c>
      <x:c r="H16" s="26" t="b">
        <x:v>0</x:v>
      </x:c>
      <x:c r="I16" s="26" t="b">
        <x:v>1</x:v>
      </x:c>
      <x:c r="J16" s="26" t="b">
        <x:v>1</x:v>
      </x:c>
      <x:c r="K16" s="26" t="b">
        <x:v>1</x:v>
      </x:c>
      <x:c r="L16" s="26" t="b">
        <x:v>0</x:v>
      </x:c>
      <x:c r="M16" s="26" t="b">
        <x:v>1</x:v>
      </x:c>
      <x:c r="N16" s="13" t="n">
        <x:v>3</x:v>
      </x:c>
      <x:c r="O16" s="13" t="n">
        <x:v>3</x:v>
      </x:c>
      <x:c r="P16" s="13"/>
    </x:row>
    <x:row r="17">
      <x:c r="A17" s="13" t="str">
        <x:v>jefwan37</x:v>
      </x:c>
      <x:c r="B17" s="13" t="str">
        <x:v>A14</x:v>
      </x:c>
      <x:c r="C17" s="13" t="n">
        <x:v>14</x:v>
      </x:c>
      <x:c r="D17" s="26" t="b">
        <x:v>0</x:v>
      </x:c>
      <x:c r="E17" s="26" t="b">
        <x:v>0</x:v>
      </x:c>
      <x:c r="F17" s="26" t="b">
        <x:v>0</x:v>
      </x:c>
      <x:c r="G17" s="26" t="b">
        <x:v>1</x:v>
      </x:c>
      <x:c r="H17" s="26" t="b">
        <x:v>0</x:v>
      </x:c>
      <x:c r="I17" s="26" t="b">
        <x:v>0</x:v>
      </x:c>
      <x:c r="J17" s="26" t="b">
        <x:v>1</x:v>
      </x:c>
      <x:c r="K17" s="26" t="b">
        <x:v>1</x:v>
      </x:c>
      <x:c r="L17" s="26" t="b">
        <x:v>1</x:v>
      </x:c>
      <x:c r="M17" s="26" t="b">
        <x:v>1</x:v>
      </x:c>
      <x:c r="N17" s="13" t="n">
        <x:v>3</x:v>
      </x:c>
      <x:c r="O17" s="13" t="n">
        <x:v>3</x:v>
      </x:c>
      <x:c r="P17" s="13" t="n">
        <x:v>2</x:v>
      </x:c>
    </x:row>
    <x:row r="18">
      <x:c r="A18" s="13" t="str">
        <x:v>jefwan37</x:v>
      </x:c>
      <x:c r="B18" s="13" t="str">
        <x:v>A15</x:v>
      </x:c>
      <x:c r="C18" s="13" t="n">
        <x:v>15</x:v>
      </x:c>
      <x:c r="D18" s="26" t="b">
        <x:v>0</x:v>
      </x:c>
      <x:c r="E18" s="26" t="b">
        <x:v>0</x:v>
      </x:c>
      <x:c r="F18" s="26" t="b">
        <x:v>0</x:v>
      </x:c>
      <x:c r="G18" s="26" t="b">
        <x:v>0</x:v>
      </x:c>
      <x:c r="H18" s="26" t="b">
        <x:v>0</x:v>
      </x:c>
      <x:c r="I18" s="26" t="b">
        <x:v>1</x:v>
      </x:c>
      <x:c r="J18" s="26" t="b">
        <x:v>1</x:v>
      </x:c>
      <x:c r="K18" s="26" t="b">
        <x:v>1</x:v>
      </x:c>
      <x:c r="L18" s="26" t="b">
        <x:v>0</x:v>
      </x:c>
      <x:c r="M18" s="26" t="b">
        <x:v>1</x:v>
      </x:c>
      <x:c r="N18" s="13" t="n">
        <x:v>3</x:v>
      </x:c>
      <x:c r="O18" s="13" t="n">
        <x:v>2</x:v>
      </x:c>
      <x:c r="P18" s="13"/>
    </x:row>
  </x:sheetData>
  <x:mergeCells>
    <x:mergeCell ref="A1:P1"/>
  </x:mergeCells>
  <x:conditionalFormatting sqref="D4:M18">
    <x:cfRule type="cellIs" dxfId="0" priority="1" operator="equal">
      <x:formula>TRUE</x:formula>
    </x:cfRule>
    <x:cfRule type="cellIs" dxfId="1" priority="2" operator="equal">
      <x:formula>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ff915e9f2614f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2" customHeight="1">
      <x:c r="A1" s="5" t="str">
        <x:v>Transformation: one tidy row per ego–alter dyad</x:v>
      </x:c>
      <x:c r="B1" s="5" t="str">
        <x:v>Transformation: one tidy row per ego–alter dyad</x:v>
      </x:c>
      <x:c r="C1" s="5" t="str">
        <x:v>Transformation: one tidy row per ego–alter dyad</x:v>
      </x:c>
      <x:c r="D1" s="5" t="str">
        <x:v>Transformation: one tidy row per ego–alter dyad</x:v>
      </x:c>
      <x:c r="E1" s="5" t="str">
        <x:v>Transformation: one tidy row per ego–alter dyad</x:v>
      </x:c>
      <x:c r="F1" s="5" t="str">
        <x:v>Transformation: one tidy row per ego–alter dyad</x:v>
      </x:c>
      <x:c r="G1" s="5" t="str">
        <x:v>Transformation: one tidy row per ego–alter dyad</x:v>
      </x:c>
      <x:c r="H1" s="5" t="str">
        <x:v>Transformation: one tidy row per ego–alter dyad</x:v>
      </x:c>
      <x:c r="I1" s="5" t="str">
        <x:v>Transformation: one tidy row per ego–alter dyad</x:v>
      </x:c>
      <x:c r="J1" s="5" t="str">
        <x:v>Transformation: one tidy row per ego–alter dyad</x:v>
      </x:c>
      <x:c r="K1" s="5" t="str">
        <x:v>Transformation: one tidy row per ego–alter dyad</x:v>
      </x:c>
      <x:c r="L1" s="5" t="str">
        <x:v>Transformation: one tidy row per ego–alter dyad</x:v>
      </x:c>
      <x:c r="M1" s="5" t="str">
        <x:v>Transformation: one tidy row per ego–alter dyad</x:v>
      </x:c>
      <x:c r="N1" s="5" t="str">
        <x:v>Transformation: one tidy row per ego–alter dyad</x:v>
      </x:c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34" customHeight="1">
      <x:c r="A3" s="11" t="str">
        <x:v>participant_id</x:v>
      </x:c>
      <x:c r="B3" s="11" t="str">
        <x:v>alter_label</x:v>
      </x:c>
      <x:c r="C3" s="11" t="str">
        <x:v>nodeID</x:v>
      </x:c>
      <x:c r="D3" s="11" t="str">
        <x:v>languageKnownCategory</x:v>
      </x:c>
      <x:c r="E3" s="11" t="str">
        <x:v>languageUsedCategory</x:v>
      </x:c>
      <x:c r="F3" s="11" t="str">
        <x:v>interaction_context</x:v>
      </x:c>
      <x:c r="G3" s="11" t="str">
        <x:v>emotional_closeness</x:v>
      </x:c>
      <x:c r="H3" s="11" t="str">
        <x:v>interaction_frequency</x:v>
      </x:c>
      <x:c r="I3" s="11" t="str">
        <x:v>codeswitching_frequency</x:v>
      </x:c>
      <x:c r="J3" s="11" t="str">
        <x:v>alter_knows_Mandarin</x:v>
      </x:c>
      <x:c r="K3" s="11" t="str">
        <x:v>alter_knows_English</x:v>
      </x:c>
      <x:c r="L3" s="11" t="str">
        <x:v>ego_uses_Mandarin</x:v>
      </x:c>
      <x:c r="M3" s="11" t="str">
        <x:v>ego_uses_English</x:v>
      </x:c>
      <x:c r="N3" s="11" t="str">
        <x:v>codeswitching_frequency_global</x:v>
      </x:c>
    </x:row>
    <x:row r="4">
      <x:c r="A4" s="13" t="str">
        <x:f>'Raw_Flags'!A4</x:f>
        <x:v>jefwan37</x:v>
      </x:c>
      <x:c r="B4" s="13" t="str">
        <x:f>'Raw_Flags'!B4</x:f>
        <x:v>A01</x:v>
      </x:c>
      <x:c r="C4" s="13" t="n">
        <x:f>'Raw_Flags'!C4</x:f>
        <x:v>1</x:v>
      </x:c>
      <x:c r="D4" s="13" t="str">
        <x:f>IF(AND('Raw_Flags'!J4=TRUE,'Raw_Flags'!K4=TRUE),"Mandarin-English",IF('Raw_Flags'!J4=TRUE,"Mandarin",IF('Raw_Flags'!K4=TRUE,"English","Other")))</x:f>
        <x:v>Mandarin-English</x:v>
      </x:c>
      <x:c r="E4" s="13" t="str">
        <x:f>IF(AND('Raw_Flags'!L4=TRUE,'Raw_Flags'!M4=TRUE),"Mandarin-English",IF('Raw_Flags'!L4=TRUE,"Mandarin",IF('Raw_Flags'!M4=TRUE,"English","Other")))</x:f>
        <x:v>Mandarin-English</x:v>
      </x:c>
      <x:c r="F4" s="13" t="str">
        <x:f>IF(OR('Raw_Flags'!D4=TRUE,'Raw_Flags'!E4=TRUE),"family",IF('Raw_Flags'!F4=TRUE,"community",IF('Raw_Flags'!G4=TRUE,"school",IF('Raw_Flags'!H4=TRUE,"work",IF('Raw_Flags'!I4=TRUE,"social","missing")))))</x:f>
        <x:v>family</x:v>
      </x:c>
      <x:c r="G4" s="13" t="n">
        <x:f>'Raw_Flags'!N4</x:f>
        <x:v>4</x:v>
      </x:c>
      <x:c r="H4" s="13" t="n">
        <x:f>'Raw_Flags'!O4</x:f>
        <x:v>3</x:v>
      </x:c>
      <x:c r="I4" s="13" t="n">
        <x:f>IF('Raw_Flags'!P4="","",'Raw_Flags'!P4)</x:f>
        <x:v>2</x:v>
      </x:c>
      <x:c r="J4" s="13" t="b">
        <x:f>'Raw_Flags'!J4</x:f>
        <x:v>1</x:v>
      </x:c>
      <x:c r="K4" s="13" t="b">
        <x:f>'Raw_Flags'!K4</x:f>
        <x:v>1</x:v>
      </x:c>
      <x:c r="L4" s="13" t="b">
        <x:f>'Raw_Flags'!L4</x:f>
        <x:v>1</x:v>
      </x:c>
      <x:c r="M4" s="13" t="b">
        <x:f>'Raw_Flags'!M4</x:f>
        <x:v>1</x:v>
      </x:c>
      <x:c r="N4" s="13" t="n">
        <x:f>IF(OR(E4="Mandarin",E4="English"),0,IF(E4="Mandarin-English",I4,""))</x:f>
        <x:v>2</x:v>
      </x:c>
    </x:row>
    <x:row r="5">
      <x:c r="A5" s="13" t="str">
        <x:f>'Raw_Flags'!A5</x:f>
        <x:v>jefwan37</x:v>
      </x:c>
      <x:c r="B5" s="13" t="str">
        <x:f>'Raw_Flags'!B5</x:f>
        <x:v>A02</x:v>
      </x:c>
      <x:c r="C5" s="13" t="n">
        <x:f>'Raw_Flags'!C5</x:f>
        <x:v>2</x:v>
      </x:c>
      <x:c r="D5" s="13" t="str">
        <x:f>IF(AND('Raw_Flags'!J5=TRUE,'Raw_Flags'!K5=TRUE),"Mandarin-English",IF('Raw_Flags'!J5=TRUE,"Mandarin",IF('Raw_Flags'!K5=TRUE,"English","Other")))</x:f>
        <x:v>Mandarin</x:v>
      </x:c>
      <x:c r="E5" s="13" t="str">
        <x:f>IF(AND('Raw_Flags'!L5=TRUE,'Raw_Flags'!M5=TRUE),"Mandarin-English",IF('Raw_Flags'!L5=TRUE,"Mandarin",IF('Raw_Flags'!M5=TRUE,"English","Other")))</x:f>
        <x:v>Mandarin</x:v>
      </x:c>
      <x:c r="F5" s="13" t="str">
        <x:f>IF(OR('Raw_Flags'!D5=TRUE,'Raw_Flags'!E5=TRUE),"family",IF('Raw_Flags'!F5=TRUE,"community",IF('Raw_Flags'!G5=TRUE,"school",IF('Raw_Flags'!H5=TRUE,"work",IF('Raw_Flags'!I5=TRUE,"social","missing")))))</x:f>
        <x:v>family</x:v>
      </x:c>
      <x:c r="G5" s="13" t="n">
        <x:f>'Raw_Flags'!N5</x:f>
        <x:v>4</x:v>
      </x:c>
      <x:c r="H5" s="13" t="n">
        <x:f>'Raw_Flags'!O5</x:f>
        <x:v>3</x:v>
      </x:c>
      <x:c r="I5" s="13" t="str">
        <x:f>IF('Raw_Flags'!P5="","",'Raw_Flags'!P5)</x:f>
      </x:c>
      <x:c r="J5" s="13" t="b">
        <x:f>'Raw_Flags'!J5</x:f>
        <x:v>1</x:v>
      </x:c>
      <x:c r="K5" s="13" t="b">
        <x:f>'Raw_Flags'!K5</x:f>
        <x:v>0</x:v>
      </x:c>
      <x:c r="L5" s="13" t="b">
        <x:f>'Raw_Flags'!L5</x:f>
        <x:v>1</x:v>
      </x:c>
      <x:c r="M5" s="13" t="b">
        <x:f>'Raw_Flags'!M5</x:f>
        <x:v>0</x:v>
      </x:c>
      <x:c r="N5" s="13" t="n">
        <x:f>IF(OR(E5="Mandarin",E5="English"),0,IF(E5="Mandarin-English",I5,""))</x:f>
        <x:v>0</x:v>
      </x:c>
    </x:row>
    <x:row r="6">
      <x:c r="A6" s="13" t="str">
        <x:f>'Raw_Flags'!A6</x:f>
        <x:v>jefwan37</x:v>
      </x:c>
      <x:c r="B6" s="13" t="str">
        <x:f>'Raw_Flags'!B6</x:f>
        <x:v>A03</x:v>
      </x:c>
      <x:c r="C6" s="13" t="n">
        <x:f>'Raw_Flags'!C6</x:f>
        <x:v>3</x:v>
      </x:c>
      <x:c r="D6" s="13" t="str">
        <x:f>IF(AND('Raw_Flags'!J6=TRUE,'Raw_Flags'!K6=TRUE),"Mandarin-English",IF('Raw_Flags'!J6=TRUE,"Mandarin",IF('Raw_Flags'!K6=TRUE,"English","Other")))</x:f>
        <x:v>Mandarin-English</x:v>
      </x:c>
      <x:c r="E6" s="13" t="str">
        <x:f>IF(AND('Raw_Flags'!L6=TRUE,'Raw_Flags'!M6=TRUE),"Mandarin-English",IF('Raw_Flags'!L6=TRUE,"Mandarin",IF('Raw_Flags'!M6=TRUE,"English","Other")))</x:f>
        <x:v>English</x:v>
      </x:c>
      <x:c r="F6" s="13" t="str">
        <x:f>IF(OR('Raw_Flags'!D6=TRUE,'Raw_Flags'!E6=TRUE),"family",IF('Raw_Flags'!F6=TRUE,"community",IF('Raw_Flags'!G6=TRUE,"school",IF('Raw_Flags'!H6=TRUE,"work",IF('Raw_Flags'!I6=TRUE,"social","missing")))))</x:f>
        <x:v>family</x:v>
      </x:c>
      <x:c r="G6" s="13" t="n">
        <x:f>'Raw_Flags'!N6</x:f>
        <x:v>4</x:v>
      </x:c>
      <x:c r="H6" s="13" t="n">
        <x:f>'Raw_Flags'!O6</x:f>
        <x:v>3</x:v>
      </x:c>
      <x:c r="I6" s="13" t="str">
        <x:f>IF('Raw_Flags'!P6="","",'Raw_Flags'!P6)</x:f>
      </x:c>
      <x:c r="J6" s="13" t="b">
        <x:f>'Raw_Flags'!J6</x:f>
        <x:v>1</x:v>
      </x:c>
      <x:c r="K6" s="13" t="b">
        <x:f>'Raw_Flags'!K6</x:f>
        <x:v>1</x:v>
      </x:c>
      <x:c r="L6" s="13" t="b">
        <x:f>'Raw_Flags'!L6</x:f>
        <x:v>0</x:v>
      </x:c>
      <x:c r="M6" s="13" t="b">
        <x:f>'Raw_Flags'!M6</x:f>
        <x:v>1</x:v>
      </x:c>
      <x:c r="N6" s="13" t="n">
        <x:f>IF(OR(E6="Mandarin",E6="English"),0,IF(E6="Mandarin-English",I6,""))</x:f>
        <x:v>0</x:v>
      </x:c>
    </x:row>
    <x:row r="7">
      <x:c r="A7" s="13" t="str">
        <x:f>'Raw_Flags'!A7</x:f>
        <x:v>jefwan37</x:v>
      </x:c>
      <x:c r="B7" s="13" t="str">
        <x:f>'Raw_Flags'!B7</x:f>
        <x:v>A04</x:v>
      </x:c>
      <x:c r="C7" s="13" t="n">
        <x:f>'Raw_Flags'!C7</x:f>
        <x:v>4</x:v>
      </x:c>
      <x:c r="D7" s="13" t="str">
        <x:f>IF(AND('Raw_Flags'!J7=TRUE,'Raw_Flags'!K7=TRUE),"Mandarin-English",IF('Raw_Flags'!J7=TRUE,"Mandarin",IF('Raw_Flags'!K7=TRUE,"English","Other")))</x:f>
        <x:v>Mandarin</x:v>
      </x:c>
      <x:c r="E7" s="13" t="str">
        <x:f>IF(AND('Raw_Flags'!L7=TRUE,'Raw_Flags'!M7=TRUE),"Mandarin-English",IF('Raw_Flags'!L7=TRUE,"Mandarin",IF('Raw_Flags'!M7=TRUE,"English","Other")))</x:f>
        <x:v>Mandarin</x:v>
      </x:c>
      <x:c r="F7" s="13" t="str">
        <x:f>IF(OR('Raw_Flags'!D7=TRUE,'Raw_Flags'!E7=TRUE),"family",IF('Raw_Flags'!F7=TRUE,"community",IF('Raw_Flags'!G7=TRUE,"school",IF('Raw_Flags'!H7=TRUE,"work",IF('Raw_Flags'!I7=TRUE,"social","missing")))))</x:f>
        <x:v>family</x:v>
      </x:c>
      <x:c r="G7" s="13" t="n">
        <x:f>'Raw_Flags'!N7</x:f>
        <x:v>4</x:v>
      </x:c>
      <x:c r="H7" s="13" t="n">
        <x:f>'Raw_Flags'!O7</x:f>
        <x:v>3</x:v>
      </x:c>
      <x:c r="I7" s="13" t="str">
        <x:f>IF('Raw_Flags'!P7="","",'Raw_Flags'!P7)</x:f>
      </x:c>
      <x:c r="J7" s="13" t="b">
        <x:f>'Raw_Flags'!J7</x:f>
        <x:v>1</x:v>
      </x:c>
      <x:c r="K7" s="13" t="b">
        <x:f>'Raw_Flags'!K7</x:f>
        <x:v>0</x:v>
      </x:c>
      <x:c r="L7" s="13" t="b">
        <x:f>'Raw_Flags'!L7</x:f>
        <x:v>1</x:v>
      </x:c>
      <x:c r="M7" s="13" t="b">
        <x:f>'Raw_Flags'!M7</x:f>
        <x:v>0</x:v>
      </x:c>
      <x:c r="N7" s="13" t="n">
        <x:f>IF(OR(E7="Mandarin",E7="English"),0,IF(E7="Mandarin-English",I7,""))</x:f>
        <x:v>0</x:v>
      </x:c>
    </x:row>
    <x:row r="8">
      <x:c r="A8" s="13" t="str">
        <x:f>'Raw_Flags'!A8</x:f>
        <x:v>jefwan37</x:v>
      </x:c>
      <x:c r="B8" s="13" t="str">
        <x:f>'Raw_Flags'!B8</x:f>
        <x:v>A05</x:v>
      </x:c>
      <x:c r="C8" s="13" t="n">
        <x:f>'Raw_Flags'!C8</x:f>
        <x:v>5</x:v>
      </x:c>
      <x:c r="D8" s="13" t="str">
        <x:f>IF(AND('Raw_Flags'!J8=TRUE,'Raw_Flags'!K8=TRUE),"Mandarin-English",IF('Raw_Flags'!J8=TRUE,"Mandarin",IF('Raw_Flags'!K8=TRUE,"English","Other")))</x:f>
        <x:v>Mandarin-English</x:v>
      </x:c>
      <x:c r="E8" s="13" t="str">
        <x:f>IF(AND('Raw_Flags'!L8=TRUE,'Raw_Flags'!M8=TRUE),"Mandarin-English",IF('Raw_Flags'!L8=TRUE,"Mandarin",IF('Raw_Flags'!M8=TRUE,"English","Other")))</x:f>
        <x:v>Mandarin-English</x:v>
      </x:c>
      <x:c r="F8" s="13" t="str">
        <x:f>IF(OR('Raw_Flags'!D8=TRUE,'Raw_Flags'!E8=TRUE),"family",IF('Raw_Flags'!F8=TRUE,"community",IF('Raw_Flags'!G8=TRUE,"school",IF('Raw_Flags'!H8=TRUE,"work",IF('Raw_Flags'!I8=TRUE,"social","missing")))))</x:f>
        <x:v>social</x:v>
      </x:c>
      <x:c r="G8" s="13" t="n">
        <x:f>'Raw_Flags'!N8</x:f>
        <x:v>5</x:v>
      </x:c>
      <x:c r="H8" s="13" t="n">
        <x:f>'Raw_Flags'!O8</x:f>
        <x:v>5</x:v>
      </x:c>
      <x:c r="I8" s="13" t="n">
        <x:f>IF('Raw_Flags'!P8="","",'Raw_Flags'!P8)</x:f>
        <x:v>4</x:v>
      </x:c>
      <x:c r="J8" s="13" t="b">
        <x:f>'Raw_Flags'!J8</x:f>
        <x:v>1</x:v>
      </x:c>
      <x:c r="K8" s="13" t="b">
        <x:f>'Raw_Flags'!K8</x:f>
        <x:v>1</x:v>
      </x:c>
      <x:c r="L8" s="13" t="b">
        <x:f>'Raw_Flags'!L8</x:f>
        <x:v>1</x:v>
      </x:c>
      <x:c r="M8" s="13" t="b">
        <x:f>'Raw_Flags'!M8</x:f>
        <x:v>1</x:v>
      </x:c>
      <x:c r="N8" s="13" t="n">
        <x:f>IF(OR(E8="Mandarin",E8="English"),0,IF(E8="Mandarin-English",I8,""))</x:f>
        <x:v>4</x:v>
      </x:c>
    </x:row>
    <x:row r="9">
      <x:c r="A9" s="13" t="str">
        <x:f>'Raw_Flags'!A9</x:f>
        <x:v>jefwan37</x:v>
      </x:c>
      <x:c r="B9" s="13" t="str">
        <x:f>'Raw_Flags'!B9</x:f>
        <x:v>A06</x:v>
      </x:c>
      <x:c r="C9" s="13" t="n">
        <x:f>'Raw_Flags'!C9</x:f>
        <x:v>6</x:v>
      </x:c>
      <x:c r="D9" s="13" t="str">
        <x:f>IF(AND('Raw_Flags'!J9=TRUE,'Raw_Flags'!K9=TRUE),"Mandarin-English",IF('Raw_Flags'!J9=TRUE,"Mandarin",IF('Raw_Flags'!K9=TRUE,"English","Other")))</x:f>
        <x:v>English</x:v>
      </x:c>
      <x:c r="E9" s="13" t="str">
        <x:f>IF(AND('Raw_Flags'!L9=TRUE,'Raw_Flags'!M9=TRUE),"Mandarin-English",IF('Raw_Flags'!L9=TRUE,"Mandarin",IF('Raw_Flags'!M9=TRUE,"English","Other")))</x:f>
        <x:v>English</x:v>
      </x:c>
      <x:c r="F9" s="13" t="str">
        <x:f>IF(OR('Raw_Flags'!D9=TRUE,'Raw_Flags'!E9=TRUE),"family",IF('Raw_Flags'!F9=TRUE,"community",IF('Raw_Flags'!G9=TRUE,"school",IF('Raw_Flags'!H9=TRUE,"work",IF('Raw_Flags'!I9=TRUE,"social","missing")))))</x:f>
        <x:v>community</x:v>
      </x:c>
      <x:c r="G9" s="13" t="n">
        <x:f>'Raw_Flags'!N9</x:f>
        <x:v>5</x:v>
      </x:c>
      <x:c r="H9" s="13" t="n">
        <x:f>'Raw_Flags'!O9</x:f>
        <x:v>5</x:v>
      </x:c>
      <x:c r="I9" s="13" t="str">
        <x:f>IF('Raw_Flags'!P9="","",'Raw_Flags'!P9)</x:f>
      </x:c>
      <x:c r="J9" s="13" t="b">
        <x:f>'Raw_Flags'!J9</x:f>
        <x:v>0</x:v>
      </x:c>
      <x:c r="K9" s="13" t="b">
        <x:f>'Raw_Flags'!K9</x:f>
        <x:v>1</x:v>
      </x:c>
      <x:c r="L9" s="13" t="b">
        <x:f>'Raw_Flags'!L9</x:f>
        <x:v>0</x:v>
      </x:c>
      <x:c r="M9" s="13" t="b">
        <x:f>'Raw_Flags'!M9</x:f>
        <x:v>1</x:v>
      </x:c>
      <x:c r="N9" s="13" t="n">
        <x:f>IF(OR(E9="Mandarin",E9="English"),0,IF(E9="Mandarin-English",I9,""))</x:f>
        <x:v>0</x:v>
      </x:c>
    </x:row>
    <x:row r="10">
      <x:c r="A10" s="13" t="str">
        <x:f>'Raw_Flags'!A10</x:f>
        <x:v>jefwan37</x:v>
      </x:c>
      <x:c r="B10" s="13" t="str">
        <x:f>'Raw_Flags'!B10</x:f>
        <x:v>A07</x:v>
      </x:c>
      <x:c r="C10" s="13" t="n">
        <x:f>'Raw_Flags'!C10</x:f>
        <x:v>7</x:v>
      </x:c>
      <x:c r="D10" s="13" t="str">
        <x:f>IF(AND('Raw_Flags'!J10=TRUE,'Raw_Flags'!K10=TRUE),"Mandarin-English",IF('Raw_Flags'!J10=TRUE,"Mandarin",IF('Raw_Flags'!K10=TRUE,"English","Other")))</x:f>
        <x:v>English</x:v>
      </x:c>
      <x:c r="E10" s="13" t="str">
        <x:f>IF(AND('Raw_Flags'!L10=TRUE,'Raw_Flags'!M10=TRUE),"Mandarin-English",IF('Raw_Flags'!L10=TRUE,"Mandarin",IF('Raw_Flags'!M10=TRUE,"English","Other")))</x:f>
        <x:v>English</x:v>
      </x:c>
      <x:c r="F10" s="13" t="str">
        <x:f>IF(OR('Raw_Flags'!D10=TRUE,'Raw_Flags'!E10=TRUE),"family",IF('Raw_Flags'!F10=TRUE,"community",IF('Raw_Flags'!G10=TRUE,"school",IF('Raw_Flags'!H10=TRUE,"work",IF('Raw_Flags'!I10=TRUE,"social","missing")))))</x:f>
        <x:v>community</x:v>
      </x:c>
      <x:c r="G10" s="13" t="n">
        <x:f>'Raw_Flags'!N10</x:f>
        <x:v>4</x:v>
      </x:c>
      <x:c r="H10" s="13" t="n">
        <x:f>'Raw_Flags'!O10</x:f>
        <x:v>5</x:v>
      </x:c>
      <x:c r="I10" s="13" t="str">
        <x:f>IF('Raw_Flags'!P10="","",'Raw_Flags'!P10)</x:f>
      </x:c>
      <x:c r="J10" s="13" t="b">
        <x:f>'Raw_Flags'!J10</x:f>
        <x:v>0</x:v>
      </x:c>
      <x:c r="K10" s="13" t="b">
        <x:f>'Raw_Flags'!K10</x:f>
        <x:v>1</x:v>
      </x:c>
      <x:c r="L10" s="13" t="b">
        <x:f>'Raw_Flags'!L10</x:f>
        <x:v>0</x:v>
      </x:c>
      <x:c r="M10" s="13" t="b">
        <x:f>'Raw_Flags'!M10</x:f>
        <x:v>1</x:v>
      </x:c>
      <x:c r="N10" s="13" t="n">
        <x:f>IF(OR(E10="Mandarin",E10="English"),0,IF(E10="Mandarin-English",I10,""))</x:f>
        <x:v>0</x:v>
      </x:c>
    </x:row>
    <x:row r="11">
      <x:c r="A11" s="13" t="str">
        <x:f>'Raw_Flags'!A11</x:f>
        <x:v>jefwan37</x:v>
      </x:c>
      <x:c r="B11" s="13" t="str">
        <x:f>'Raw_Flags'!B11</x:f>
        <x:v>A08</x:v>
      </x:c>
      <x:c r="C11" s="13" t="n">
        <x:f>'Raw_Flags'!C11</x:f>
        <x:v>8</x:v>
      </x:c>
      <x:c r="D11" s="13" t="str">
        <x:f>IF(AND('Raw_Flags'!J11=TRUE,'Raw_Flags'!K11=TRUE),"Mandarin-English",IF('Raw_Flags'!J11=TRUE,"Mandarin",IF('Raw_Flags'!K11=TRUE,"English","Other")))</x:f>
        <x:v>Mandarin-English</x:v>
      </x:c>
      <x:c r="E11" s="13" t="str">
        <x:f>IF(AND('Raw_Flags'!L11=TRUE,'Raw_Flags'!M11=TRUE),"Mandarin-English",IF('Raw_Flags'!L11=TRUE,"Mandarin",IF('Raw_Flags'!M11=TRUE,"English","Other")))</x:f>
        <x:v>Mandarin-English</x:v>
      </x:c>
      <x:c r="F11" s="13" t="str">
        <x:f>IF(OR('Raw_Flags'!D11=TRUE,'Raw_Flags'!E11=TRUE),"family",IF('Raw_Flags'!F11=TRUE,"community",IF('Raw_Flags'!G11=TRUE,"school",IF('Raw_Flags'!H11=TRUE,"work",IF('Raw_Flags'!I11=TRUE,"social","missing")))))</x:f>
        <x:v>community</x:v>
      </x:c>
      <x:c r="G11" s="13" t="n">
        <x:f>'Raw_Flags'!N11</x:f>
        <x:v>3</x:v>
      </x:c>
      <x:c r="H11" s="13" t="n">
        <x:f>'Raw_Flags'!O11</x:f>
        <x:v>5</x:v>
      </x:c>
      <x:c r="I11" s="13" t="n">
        <x:f>IF('Raw_Flags'!P11="","",'Raw_Flags'!P11)</x:f>
        <x:v>4</x:v>
      </x:c>
      <x:c r="J11" s="13" t="b">
        <x:f>'Raw_Flags'!J11</x:f>
        <x:v>1</x:v>
      </x:c>
      <x:c r="K11" s="13" t="b">
        <x:f>'Raw_Flags'!K11</x:f>
        <x:v>1</x:v>
      </x:c>
      <x:c r="L11" s="13" t="b">
        <x:f>'Raw_Flags'!L11</x:f>
        <x:v>1</x:v>
      </x:c>
      <x:c r="M11" s="13" t="b">
        <x:f>'Raw_Flags'!M11</x:f>
        <x:v>1</x:v>
      </x:c>
      <x:c r="N11" s="13" t="n">
        <x:f>IF(OR(E11="Mandarin",E11="English"),0,IF(E11="Mandarin-English",I11,""))</x:f>
        <x:v>4</x:v>
      </x:c>
    </x:row>
    <x:row r="12">
      <x:c r="A12" s="13" t="str">
        <x:f>'Raw_Flags'!A12</x:f>
        <x:v>jefwan37</x:v>
      </x:c>
      <x:c r="B12" s="13" t="str">
        <x:f>'Raw_Flags'!B12</x:f>
        <x:v>A09</x:v>
      </x:c>
      <x:c r="C12" s="13" t="n">
        <x:f>'Raw_Flags'!C12</x:f>
        <x:v>9</x:v>
      </x:c>
      <x:c r="D12" s="13" t="str">
        <x:f>IF(AND('Raw_Flags'!J12=TRUE,'Raw_Flags'!K12=TRUE),"Mandarin-English",IF('Raw_Flags'!J12=TRUE,"Mandarin",IF('Raw_Flags'!K12=TRUE,"English","Other")))</x:f>
        <x:v>Mandarin-English</x:v>
      </x:c>
      <x:c r="E12" s="13" t="str">
        <x:f>IF(AND('Raw_Flags'!L12=TRUE,'Raw_Flags'!M12=TRUE),"Mandarin-English",IF('Raw_Flags'!L12=TRUE,"Mandarin",IF('Raw_Flags'!M12=TRUE,"English","Other")))</x:f>
        <x:v>Mandarin-English</x:v>
      </x:c>
      <x:c r="F12" s="13" t="str">
        <x:f>IF(OR('Raw_Flags'!D12=TRUE,'Raw_Flags'!E12=TRUE),"family",IF('Raw_Flags'!F12=TRUE,"community",IF('Raw_Flags'!G12=TRUE,"school",IF('Raw_Flags'!H12=TRUE,"work",IF('Raw_Flags'!I12=TRUE,"social","missing")))))</x:f>
        <x:v>community</x:v>
      </x:c>
      <x:c r="G12" s="13" t="n">
        <x:f>'Raw_Flags'!N12</x:f>
        <x:v>2</x:v>
      </x:c>
      <x:c r="H12" s="13" t="n">
        <x:f>'Raw_Flags'!O12</x:f>
        <x:v>4</x:v>
      </x:c>
      <x:c r="I12" s="13" t="n">
        <x:f>IF('Raw_Flags'!P12="","",'Raw_Flags'!P12)</x:f>
        <x:v>4</x:v>
      </x:c>
      <x:c r="J12" s="13" t="b">
        <x:f>'Raw_Flags'!J12</x:f>
        <x:v>1</x:v>
      </x:c>
      <x:c r="K12" s="13" t="b">
        <x:f>'Raw_Flags'!K12</x:f>
        <x:v>1</x:v>
      </x:c>
      <x:c r="L12" s="13" t="b">
        <x:f>'Raw_Flags'!L12</x:f>
        <x:v>1</x:v>
      </x:c>
      <x:c r="M12" s="13" t="b">
        <x:f>'Raw_Flags'!M12</x:f>
        <x:v>1</x:v>
      </x:c>
      <x:c r="N12" s="13" t="n">
        <x:f>IF(OR(E12="Mandarin",E12="English"),0,IF(E12="Mandarin-English",I12,""))</x:f>
        <x:v>4</x:v>
      </x:c>
    </x:row>
    <x:row r="13">
      <x:c r="A13" s="13" t="str">
        <x:f>'Raw_Flags'!A13</x:f>
        <x:v>jefwan37</x:v>
      </x:c>
      <x:c r="B13" s="13" t="str">
        <x:f>'Raw_Flags'!B13</x:f>
        <x:v>A10</x:v>
      </x:c>
      <x:c r="C13" s="13" t="n">
        <x:f>'Raw_Flags'!C13</x:f>
        <x:v>10</x:v>
      </x:c>
      <x:c r="D13" s="13" t="str">
        <x:f>IF(AND('Raw_Flags'!J13=TRUE,'Raw_Flags'!K13=TRUE),"Mandarin-English",IF('Raw_Flags'!J13=TRUE,"Mandarin",IF('Raw_Flags'!K13=TRUE,"English","Other")))</x:f>
        <x:v>Mandarin-English</x:v>
      </x:c>
      <x:c r="E13" s="13" t="str">
        <x:f>IF(AND('Raw_Flags'!L13=TRUE,'Raw_Flags'!M13=TRUE),"Mandarin-English",IF('Raw_Flags'!L13=TRUE,"Mandarin",IF('Raw_Flags'!M13=TRUE,"English","Other")))</x:f>
        <x:v>Mandarin-English</x:v>
      </x:c>
      <x:c r="F13" s="13" t="str">
        <x:f>IF(OR('Raw_Flags'!D13=TRUE,'Raw_Flags'!E13=TRUE),"family",IF('Raw_Flags'!F13=TRUE,"community",IF('Raw_Flags'!G13=TRUE,"school",IF('Raw_Flags'!H13=TRUE,"work",IF('Raw_Flags'!I13=TRUE,"social","missing")))))</x:f>
        <x:v>social</x:v>
      </x:c>
      <x:c r="G13" s="13" t="n">
        <x:f>'Raw_Flags'!N13</x:f>
        <x:v>4</x:v>
      </x:c>
      <x:c r="H13" s="13" t="n">
        <x:f>'Raw_Flags'!O13</x:f>
        <x:v>5</x:v>
      </x:c>
      <x:c r="I13" s="13" t="n">
        <x:f>IF('Raw_Flags'!P13="","",'Raw_Flags'!P13)</x:f>
        <x:v>3</x:v>
      </x:c>
      <x:c r="J13" s="13" t="b">
        <x:f>'Raw_Flags'!J13</x:f>
        <x:v>1</x:v>
      </x:c>
      <x:c r="K13" s="13" t="b">
        <x:f>'Raw_Flags'!K13</x:f>
        <x:v>1</x:v>
      </x:c>
      <x:c r="L13" s="13" t="b">
        <x:f>'Raw_Flags'!L13</x:f>
        <x:v>1</x:v>
      </x:c>
      <x:c r="M13" s="13" t="b">
        <x:f>'Raw_Flags'!M13</x:f>
        <x:v>1</x:v>
      </x:c>
      <x:c r="N13" s="13" t="n">
        <x:f>IF(OR(E13="Mandarin",E13="English"),0,IF(E13="Mandarin-English",I13,""))</x:f>
        <x:v>3</x:v>
      </x:c>
    </x:row>
    <x:row r="14">
      <x:c r="A14" s="13" t="str">
        <x:f>'Raw_Flags'!A14</x:f>
        <x:v>jefwan37</x:v>
      </x:c>
      <x:c r="B14" s="13" t="str">
        <x:f>'Raw_Flags'!B14</x:f>
        <x:v>A11</x:v>
      </x:c>
      <x:c r="C14" s="13" t="n">
        <x:f>'Raw_Flags'!C14</x:f>
        <x:v>11</x:v>
      </x:c>
      <x:c r="D14" s="13" t="str">
        <x:f>IF(AND('Raw_Flags'!J14=TRUE,'Raw_Flags'!K14=TRUE),"Mandarin-English",IF('Raw_Flags'!J14=TRUE,"Mandarin",IF('Raw_Flags'!K14=TRUE,"English","Other")))</x:f>
        <x:v>Mandarin-English</x:v>
      </x:c>
      <x:c r="E14" s="13" t="str">
        <x:f>IF(AND('Raw_Flags'!L14=TRUE,'Raw_Flags'!M14=TRUE),"Mandarin-English",IF('Raw_Flags'!L14=TRUE,"Mandarin",IF('Raw_Flags'!M14=TRUE,"English","Other")))</x:f>
        <x:v>Mandarin-English</x:v>
      </x:c>
      <x:c r="F14" s="13" t="str">
        <x:f>IF(OR('Raw_Flags'!D14=TRUE,'Raw_Flags'!E14=TRUE),"family",IF('Raw_Flags'!F14=TRUE,"community",IF('Raw_Flags'!G14=TRUE,"school",IF('Raw_Flags'!H14=TRUE,"work",IF('Raw_Flags'!I14=TRUE,"social","missing")))))</x:f>
        <x:v>social</x:v>
      </x:c>
      <x:c r="G14" s="13" t="n">
        <x:f>'Raw_Flags'!N14</x:f>
        <x:v>5</x:v>
      </x:c>
      <x:c r="H14" s="13" t="n">
        <x:f>'Raw_Flags'!O14</x:f>
        <x:v>4</x:v>
      </x:c>
      <x:c r="I14" s="13" t="n">
        <x:f>IF('Raw_Flags'!P14="","",'Raw_Flags'!P14)</x:f>
        <x:v>4</x:v>
      </x:c>
      <x:c r="J14" s="13" t="b">
        <x:f>'Raw_Flags'!J14</x:f>
        <x:v>1</x:v>
      </x:c>
      <x:c r="K14" s="13" t="b">
        <x:f>'Raw_Flags'!K14</x:f>
        <x:v>1</x:v>
      </x:c>
      <x:c r="L14" s="13" t="b">
        <x:f>'Raw_Flags'!L14</x:f>
        <x:v>1</x:v>
      </x:c>
      <x:c r="M14" s="13" t="b">
        <x:f>'Raw_Flags'!M14</x:f>
        <x:v>1</x:v>
      </x:c>
      <x:c r="N14" s="13" t="n">
        <x:f>IF(OR(E14="Mandarin",E14="English"),0,IF(E14="Mandarin-English",I14,""))</x:f>
        <x:v>4</x:v>
      </x:c>
    </x:row>
    <x:row r="15">
      <x:c r="A15" s="13" t="str">
        <x:f>'Raw_Flags'!A15</x:f>
        <x:v>jefwan37</x:v>
      </x:c>
      <x:c r="B15" s="13" t="str">
        <x:f>'Raw_Flags'!B15</x:f>
        <x:v>A12</x:v>
      </x:c>
      <x:c r="C15" s="13" t="n">
        <x:f>'Raw_Flags'!C15</x:f>
        <x:v>12</x:v>
      </x:c>
      <x:c r="D15" s="13" t="str">
        <x:f>IF(AND('Raw_Flags'!J15=TRUE,'Raw_Flags'!K15=TRUE),"Mandarin-English",IF('Raw_Flags'!J15=TRUE,"Mandarin",IF('Raw_Flags'!K15=TRUE,"English","Other")))</x:f>
        <x:v>Mandarin-English</x:v>
      </x:c>
      <x:c r="E15" s="13" t="str">
        <x:f>IF(AND('Raw_Flags'!L15=TRUE,'Raw_Flags'!M15=TRUE),"Mandarin-English",IF('Raw_Flags'!L15=TRUE,"Mandarin",IF('Raw_Flags'!M15=TRUE,"English","Other")))</x:f>
        <x:v>Mandarin</x:v>
      </x:c>
      <x:c r="F15" s="13" t="str">
        <x:f>IF(OR('Raw_Flags'!D15=TRUE,'Raw_Flags'!E15=TRUE),"family",IF('Raw_Flags'!F15=TRUE,"community",IF('Raw_Flags'!G15=TRUE,"school",IF('Raw_Flags'!H15=TRUE,"work",IF('Raw_Flags'!I15=TRUE,"social","missing")))))</x:f>
        <x:v>social</x:v>
      </x:c>
      <x:c r="G15" s="13" t="n">
        <x:f>'Raw_Flags'!N15</x:f>
        <x:v>4</x:v>
      </x:c>
      <x:c r="H15" s="13" t="n">
        <x:f>'Raw_Flags'!O15</x:f>
        <x:v>4</x:v>
      </x:c>
      <x:c r="I15" s="13" t="str">
        <x:f>IF('Raw_Flags'!P15="","",'Raw_Flags'!P15)</x:f>
      </x:c>
      <x:c r="J15" s="13" t="b">
        <x:f>'Raw_Flags'!J15</x:f>
        <x:v>1</x:v>
      </x:c>
      <x:c r="K15" s="13" t="b">
        <x:f>'Raw_Flags'!K15</x:f>
        <x:v>1</x:v>
      </x:c>
      <x:c r="L15" s="13" t="b">
        <x:f>'Raw_Flags'!L15</x:f>
        <x:v>1</x:v>
      </x:c>
      <x:c r="M15" s="13" t="b">
        <x:f>'Raw_Flags'!M15</x:f>
        <x:v>0</x:v>
      </x:c>
      <x:c r="N15" s="13" t="n">
        <x:f>IF(OR(E15="Mandarin",E15="English"),0,IF(E15="Mandarin-English",I15,""))</x:f>
        <x:v>0</x:v>
      </x:c>
    </x:row>
    <x:row r="16">
      <x:c r="A16" s="13" t="str">
        <x:f>'Raw_Flags'!A16</x:f>
        <x:v>jefwan37</x:v>
      </x:c>
      <x:c r="B16" s="13" t="str">
        <x:f>'Raw_Flags'!B16</x:f>
        <x:v>A13</x:v>
      </x:c>
      <x:c r="C16" s="13" t="n">
        <x:f>'Raw_Flags'!C16</x:f>
        <x:v>13</x:v>
      </x:c>
      <x:c r="D16" s="13" t="str">
        <x:f>IF(AND('Raw_Flags'!J16=TRUE,'Raw_Flags'!K16=TRUE),"Mandarin-English",IF('Raw_Flags'!J16=TRUE,"Mandarin",IF('Raw_Flags'!K16=TRUE,"English","Other")))</x:f>
        <x:v>Mandarin-English</x:v>
      </x:c>
      <x:c r="E16" s="13" t="str">
        <x:f>IF(AND('Raw_Flags'!L16=TRUE,'Raw_Flags'!M16=TRUE),"Mandarin-English",IF('Raw_Flags'!L16=TRUE,"Mandarin",IF('Raw_Flags'!M16=TRUE,"English","Other")))</x:f>
        <x:v>English</x:v>
      </x:c>
      <x:c r="F16" s="13" t="str">
        <x:f>IF(OR('Raw_Flags'!D16=TRUE,'Raw_Flags'!E16=TRUE),"family",IF('Raw_Flags'!F16=TRUE,"community",IF('Raw_Flags'!G16=TRUE,"school",IF('Raw_Flags'!H16=TRUE,"work",IF('Raw_Flags'!I16=TRUE,"social","missing")))))</x:f>
        <x:v>social</x:v>
      </x:c>
      <x:c r="G16" s="13" t="n">
        <x:f>'Raw_Flags'!N16</x:f>
        <x:v>3</x:v>
      </x:c>
      <x:c r="H16" s="13" t="n">
        <x:f>'Raw_Flags'!O16</x:f>
        <x:v>3</x:v>
      </x:c>
      <x:c r="I16" s="13" t="str">
        <x:f>IF('Raw_Flags'!P16="","",'Raw_Flags'!P16)</x:f>
      </x:c>
      <x:c r="J16" s="13" t="b">
        <x:f>'Raw_Flags'!J16</x:f>
        <x:v>1</x:v>
      </x:c>
      <x:c r="K16" s="13" t="b">
        <x:f>'Raw_Flags'!K16</x:f>
        <x:v>1</x:v>
      </x:c>
      <x:c r="L16" s="13" t="b">
        <x:f>'Raw_Flags'!L16</x:f>
        <x:v>0</x:v>
      </x:c>
      <x:c r="M16" s="13" t="b">
        <x:f>'Raw_Flags'!M16</x:f>
        <x:v>1</x:v>
      </x:c>
      <x:c r="N16" s="13" t="n">
        <x:f>IF(OR(E16="Mandarin",E16="English"),0,IF(E16="Mandarin-English",I16,""))</x:f>
        <x:v>0</x:v>
      </x:c>
    </x:row>
    <x:row r="17">
      <x:c r="A17" s="13" t="str">
        <x:f>'Raw_Flags'!A17</x:f>
        <x:v>jefwan37</x:v>
      </x:c>
      <x:c r="B17" s="13" t="str">
        <x:f>'Raw_Flags'!B17</x:f>
        <x:v>A14</x:v>
      </x:c>
      <x:c r="C17" s="13" t="n">
        <x:f>'Raw_Flags'!C17</x:f>
        <x:v>14</x:v>
      </x:c>
      <x:c r="D17" s="13" t="str">
        <x:f>IF(AND('Raw_Flags'!J17=TRUE,'Raw_Flags'!K17=TRUE),"Mandarin-English",IF('Raw_Flags'!J17=TRUE,"Mandarin",IF('Raw_Flags'!K17=TRUE,"English","Other")))</x:f>
        <x:v>Mandarin-English</x:v>
      </x:c>
      <x:c r="E17" s="13" t="str">
        <x:f>IF(AND('Raw_Flags'!L17=TRUE,'Raw_Flags'!M17=TRUE),"Mandarin-English",IF('Raw_Flags'!L17=TRUE,"Mandarin",IF('Raw_Flags'!M17=TRUE,"English","Other")))</x:f>
        <x:v>Mandarin-English</x:v>
      </x:c>
      <x:c r="F17" s="13" t="str">
        <x:f>IF(OR('Raw_Flags'!D17=TRUE,'Raw_Flags'!E17=TRUE),"family",IF('Raw_Flags'!F17=TRUE,"community",IF('Raw_Flags'!G17=TRUE,"school",IF('Raw_Flags'!H17=TRUE,"work",IF('Raw_Flags'!I17=TRUE,"social","missing")))))</x:f>
        <x:v>school</x:v>
      </x:c>
      <x:c r="G17" s="13" t="n">
        <x:f>'Raw_Flags'!N17</x:f>
        <x:v>3</x:v>
      </x:c>
      <x:c r="H17" s="13" t="n">
        <x:f>'Raw_Flags'!O17</x:f>
        <x:v>3</x:v>
      </x:c>
      <x:c r="I17" s="13" t="n">
        <x:f>IF('Raw_Flags'!P17="","",'Raw_Flags'!P17)</x:f>
        <x:v>2</x:v>
      </x:c>
      <x:c r="J17" s="13" t="b">
        <x:f>'Raw_Flags'!J17</x:f>
        <x:v>1</x:v>
      </x:c>
      <x:c r="K17" s="13" t="b">
        <x:f>'Raw_Flags'!K17</x:f>
        <x:v>1</x:v>
      </x:c>
      <x:c r="L17" s="13" t="b">
        <x:f>'Raw_Flags'!L17</x:f>
        <x:v>1</x:v>
      </x:c>
      <x:c r="M17" s="13" t="b">
        <x:f>'Raw_Flags'!M17</x:f>
        <x:v>1</x:v>
      </x:c>
      <x:c r="N17" s="13" t="n">
        <x:f>IF(OR(E17="Mandarin",E17="English"),0,IF(E17="Mandarin-English",I17,""))</x:f>
        <x:v>2</x:v>
      </x:c>
    </x:row>
    <x:row r="18">
      <x:c r="A18" s="13" t="str">
        <x:f>'Raw_Flags'!A18</x:f>
        <x:v>jefwan37</x:v>
      </x:c>
      <x:c r="B18" s="13" t="str">
        <x:f>'Raw_Flags'!B18</x:f>
        <x:v>A15</x:v>
      </x:c>
      <x:c r="C18" s="13" t="n">
        <x:f>'Raw_Flags'!C18</x:f>
        <x:v>15</x:v>
      </x:c>
      <x:c r="D18" s="13" t="str">
        <x:f>IF(AND('Raw_Flags'!J18=TRUE,'Raw_Flags'!K18=TRUE),"Mandarin-English",IF('Raw_Flags'!J18=TRUE,"Mandarin",IF('Raw_Flags'!K18=TRUE,"English","Other")))</x:f>
        <x:v>Mandarin-English</x:v>
      </x:c>
      <x:c r="E18" s="13" t="str">
        <x:f>IF(AND('Raw_Flags'!L18=TRUE,'Raw_Flags'!M18=TRUE),"Mandarin-English",IF('Raw_Flags'!L18=TRUE,"Mandarin",IF('Raw_Flags'!M18=TRUE,"English","Other")))</x:f>
        <x:v>English</x:v>
      </x:c>
      <x:c r="F18" s="13" t="str">
        <x:f>IF(OR('Raw_Flags'!D18=TRUE,'Raw_Flags'!E18=TRUE),"family",IF('Raw_Flags'!F18=TRUE,"community",IF('Raw_Flags'!G18=TRUE,"school",IF('Raw_Flags'!H18=TRUE,"work",IF('Raw_Flags'!I18=TRUE,"social","missing")))))</x:f>
        <x:v>social</x:v>
      </x:c>
      <x:c r="G18" s="13" t="n">
        <x:f>'Raw_Flags'!N18</x:f>
        <x:v>3</x:v>
      </x:c>
      <x:c r="H18" s="13" t="n">
        <x:f>'Raw_Flags'!O18</x:f>
        <x:v>2</x:v>
      </x:c>
      <x:c r="I18" s="13" t="str">
        <x:f>IF('Raw_Flags'!P18="","",'Raw_Flags'!P18)</x:f>
      </x:c>
      <x:c r="J18" s="13" t="b">
        <x:f>'Raw_Flags'!J18</x:f>
        <x:v>1</x:v>
      </x:c>
      <x:c r="K18" s="13" t="b">
        <x:f>'Raw_Flags'!K18</x:f>
        <x:v>1</x:v>
      </x:c>
      <x:c r="L18" s="13" t="b">
        <x:f>'Raw_Flags'!L18</x:f>
        <x:v>0</x:v>
      </x:c>
      <x:c r="M18" s="13" t="b">
        <x:f>'Raw_Flags'!M18</x:f>
        <x:v>1</x:v>
      </x:c>
      <x:c r="N18" s="13" t="n">
        <x:f>IF(OR(E18="Mandarin",E18="English"),0,IF(E18="Mandarin-English",I18,""))</x:f>
        <x:v>0</x:v>
      </x:c>
    </x:row>
  </x:sheetData>
  <x:mergeCells>
    <x:mergeCell ref="A1:N1"/>
  </x:mergeCells>
  <x:conditionalFormatting sqref="D4:E18">
    <x:cfRule type="containsText" dxfId="2" priority="1" operator="containsText" text="Mandarin-English"/>
    <x:cfRule type="cellIs" dxfId="3" priority="2" operator="equal">
      <x:formula>"Mandarin"</x:formula>
    </x:cfRule>
    <x:cfRule type="cellIs" dxfId="4" priority="3" operator="equal">
      <x:formula>"English"</x:formula>
    </x:cfRule>
  </x:conditionalFormatting>
  <x:conditionalFormatting sqref="F4:F18">
    <x:cfRule type="cellIs" dxfId="5" priority="4" operator="equal">
      <x:formula>"family"</x:formula>
    </x:cfRule>
    <x:cfRule type="cellIs" dxfId="6" priority="5" operator="equal">
      <x:formula>"social"</x:formula>
    </x:cfRule>
    <x:cfRule type="cellIs" dxfId="7" priority="6" operator="equal">
      <x:formula>"community"</x:formula>
    </x:cfRule>
    <x:cfRule type="cellIs" dxfId="8" priority="7" operator="equal">
      <x:formula>"school"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d88ba51238540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6" hidden="0" customWidth="1"/>
    <x:col min="7" max="7" width="20" hidden="0" customWidth="1"/>
    <x:col min="8" max="8" width="20" hidden="0" customWidth="1"/>
  </x:cols>
  <x:sheetData>
    <x:row r="1" ht="32" customHeight="1">
      <x:c r="A1" s="5" t="str">
        <x:v>Fig. 5 source — A/B language recoding with the same five nodeIDs</x:v>
      </x:c>
      <x:c r="B1" s="5" t="str">
        <x:v>Fig. 5 source — A/B language recoding with the same five nodeIDs</x:v>
      </x:c>
      <x:c r="C1" s="5" t="str">
        <x:v>Fig. 5 source — A/B language recoding with the same five nodeIDs</x:v>
      </x:c>
      <x:c r="D1" s="5" t="str">
        <x:v>Fig. 5 source — A/B language recoding with the same five nodeIDs</x:v>
      </x:c>
      <x:c r="E1" s="5" t="str">
        <x:v>Fig. 5 source — A/B language recoding with the same five nodeIDs</x:v>
      </x:c>
      <x:c r="F1" s="5" t="str">
        <x:v>Fig. 5 source — A/B language recoding with the same five nodeIDs</x:v>
      </x:c>
      <x:c r="G1" s="5" t="str">
        <x:v>Fig. 5 source — A/B language recoding with the same five nodeIDs</x:v>
      </x:c>
      <x:c r="H1" s="5" t="str">
        <x:v>Fig. 5 source — A/B language recoding with the same five nodeIDs</x:v>
      </x:c>
    </x:row>
    <x:row r="2">
      <x:c r="A2" s="2"/>
      <x:c r="B2" s="2"/>
      <x:c r="C2" s="2"/>
      <x:c r="D2" s="2"/>
      <x:c r="E2" s="2"/>
      <x:c r="F2" s="2"/>
      <x:c r="G2" s="2"/>
      <x:c r="H2" s="2"/>
    </x:row>
    <x:row r="3" ht="34" customHeight="1">
      <x:c r="A3" s="11" t="str">
        <x:v>nodeID</x:v>
      </x:c>
      <x:c r="B3" s="11" t="str">
        <x:v>knows Mandarin</x:v>
      </x:c>
      <x:c r="C3" s="11" t="str">
        <x:v>knows English</x:v>
      </x:c>
      <x:c r="D3" s="11" t="str">
        <x:v>uses Mandarin</x:v>
      </x:c>
      <x:c r="E3" s="11" t="str">
        <x:v>uses English</x:v>
      </x:c>
      <x:c r="F3" s="11" t="str">
        <x:v>→</x:v>
      </x:c>
      <x:c r="G3" s="11" t="str">
        <x:v>language known</x:v>
      </x:c>
      <x:c r="H3" s="11" t="str">
        <x:v>language used</x:v>
      </x:c>
    </x:row>
    <x:row r="4">
      <x:c r="A4" s="27" t="n">
        <x:f>'Tidy_Alter'!C5</x:f>
        <x:v>2</x:v>
      </x:c>
      <x:c r="B4" s="27" t="b">
        <x:f>'Tidy_Alter'!J5</x:f>
        <x:v>1</x:v>
      </x:c>
      <x:c r="C4" s="27" t="b">
        <x:f>'Tidy_Alter'!K5</x:f>
        <x:v>0</x:v>
      </x:c>
      <x:c r="D4" s="27" t="b">
        <x:f>'Tidy_Alter'!L5</x:f>
        <x:v>1</x:v>
      </x:c>
      <x:c r="E4" s="27" t="b">
        <x:f>'Tidy_Alter'!M5</x:f>
        <x:v>0</x:v>
      </x:c>
      <x:c r="F4" s="27" t="str">
        <x:v>→</x:v>
      </x:c>
      <x:c r="G4" s="13" t="str">
        <x:f>'Tidy_Alter'!D5</x:f>
        <x:v>Mandarin</x:v>
      </x:c>
      <x:c r="H4" s="13" t="str">
        <x:f>'Tidy_Alter'!E5</x:f>
        <x:v>Mandarin</x:v>
      </x:c>
    </x:row>
    <x:row r="5">
      <x:c r="A5" s="27" t="n">
        <x:f>'Tidy_Alter'!C6</x:f>
        <x:v>3</x:v>
      </x:c>
      <x:c r="B5" s="27" t="b">
        <x:f>'Tidy_Alter'!J6</x:f>
        <x:v>1</x:v>
      </x:c>
      <x:c r="C5" s="27" t="b">
        <x:f>'Tidy_Alter'!K6</x:f>
        <x:v>1</x:v>
      </x:c>
      <x:c r="D5" s="27" t="b">
        <x:f>'Tidy_Alter'!L6</x:f>
        <x:v>0</x:v>
      </x:c>
      <x:c r="E5" s="27" t="b">
        <x:f>'Tidy_Alter'!M6</x:f>
        <x:v>1</x:v>
      </x:c>
      <x:c r="F5" s="27" t="str">
        <x:v>→</x:v>
      </x:c>
      <x:c r="G5" s="13" t="str">
        <x:f>'Tidy_Alter'!D6</x:f>
        <x:v>Mandarin-English</x:v>
      </x:c>
      <x:c r="H5" s="13" t="str">
        <x:f>'Tidy_Alter'!E6</x:f>
        <x:v>English</x:v>
      </x:c>
    </x:row>
    <x:row r="6">
      <x:c r="A6" s="27" t="n">
        <x:f>'Tidy_Alter'!C8</x:f>
        <x:v>5</x:v>
      </x:c>
      <x:c r="B6" s="27" t="b">
        <x:f>'Tidy_Alter'!J8</x:f>
        <x:v>1</x:v>
      </x:c>
      <x:c r="C6" s="27" t="b">
        <x:f>'Tidy_Alter'!K8</x:f>
        <x:v>1</x:v>
      </x:c>
      <x:c r="D6" s="27" t="b">
        <x:f>'Tidy_Alter'!L8</x:f>
        <x:v>1</x:v>
      </x:c>
      <x:c r="E6" s="27" t="b">
        <x:f>'Tidy_Alter'!M8</x:f>
        <x:v>1</x:v>
      </x:c>
      <x:c r="F6" s="27" t="str">
        <x:v>→</x:v>
      </x:c>
      <x:c r="G6" s="13" t="str">
        <x:f>'Tidy_Alter'!D8</x:f>
        <x:v>Mandarin-English</x:v>
      </x:c>
      <x:c r="H6" s="13" t="str">
        <x:f>'Tidy_Alter'!E8</x:f>
        <x:v>Mandarin-English</x:v>
      </x:c>
    </x:row>
    <x:row r="7">
      <x:c r="A7" s="27" t="n">
        <x:f>'Tidy_Alter'!C11</x:f>
        <x:v>8</x:v>
      </x:c>
      <x:c r="B7" s="27" t="b">
        <x:f>'Tidy_Alter'!J11</x:f>
        <x:v>1</x:v>
      </x:c>
      <x:c r="C7" s="27" t="b">
        <x:f>'Tidy_Alter'!K11</x:f>
        <x:v>1</x:v>
      </x:c>
      <x:c r="D7" s="27" t="b">
        <x:f>'Tidy_Alter'!L11</x:f>
        <x:v>1</x:v>
      </x:c>
      <x:c r="E7" s="27" t="b">
        <x:f>'Tidy_Alter'!M11</x:f>
        <x:v>1</x:v>
      </x:c>
      <x:c r="F7" s="27" t="str">
        <x:v>→</x:v>
      </x:c>
      <x:c r="G7" s="13" t="str">
        <x:f>'Tidy_Alter'!D11</x:f>
        <x:v>Mandarin-English</x:v>
      </x:c>
      <x:c r="H7" s="13" t="str">
        <x:f>'Tidy_Alter'!E11</x:f>
        <x:v>Mandarin-English</x:v>
      </x:c>
    </x:row>
    <x:row r="8">
      <x:c r="A8" s="27" t="n">
        <x:f>'Tidy_Alter'!C17</x:f>
        <x:v>14</x:v>
      </x:c>
      <x:c r="B8" s="27" t="b">
        <x:f>'Tidy_Alter'!J17</x:f>
        <x:v>1</x:v>
      </x:c>
      <x:c r="C8" s="27" t="b">
        <x:f>'Tidy_Alter'!K17</x:f>
        <x:v>1</x:v>
      </x:c>
      <x:c r="D8" s="27" t="b">
        <x:f>'Tidy_Alter'!L17</x:f>
        <x:v>1</x:v>
      </x:c>
      <x:c r="E8" s="27" t="b">
        <x:f>'Tidy_Alter'!M17</x:f>
        <x:v>1</x:v>
      </x:c>
      <x:c r="F8" s="27" t="str">
        <x:v>→</x:v>
      </x:c>
      <x:c r="G8" s="13" t="str">
        <x:f>'Tidy_Alter'!D17</x:f>
        <x:v>Mandarin-English</x:v>
      </x:c>
      <x:c r="H8" s="13" t="str">
        <x:f>'Tidy_Alter'!E17</x:f>
        <x:v>Mandarin-English</x:v>
      </x:c>
    </x:row>
    <x:row r="9">
      <x:c r="A9" s="2"/>
      <x:c r="B9" s="2"/>
      <x:c r="C9" s="2"/>
      <x:c r="D9" s="2"/>
      <x:c r="E9" s="2"/>
      <x:c r="F9" s="2"/>
      <x:c r="G9" s="2"/>
      <x:c r="H9" s="2"/>
    </x:row>
    <x:row r="10">
      <x:c r="A10" s="28" t="str">
        <x:v>Exactly the same nodeIDs (2, 3, 5, 8, 14) are used in Figs. 5–7.</x:v>
      </x:c>
      <x:c r="B10" s="28"/>
      <x:c r="C10" s="28"/>
      <x:c r="D10" s="28"/>
      <x:c r="E10" s="28"/>
      <x:c r="F10" s="28"/>
      <x:c r="G10" s="28"/>
      <x:c r="H10" s="28"/>
    </x:row>
  </x:sheetData>
  <x:mergeCells>
    <x:mergeCell ref="A1:H1"/>
    <x:mergeCell ref="A10:H10"/>
  </x:mergeCells>
  <x:conditionalFormatting sqref="G4:H8">
    <x:cfRule type="containsText" dxfId="9" priority="1" operator="containsText" text="Mandarin-English"/>
    <x:cfRule type="cellIs" dxfId="10" priority="2" operator="equal">
      <x:formula>"Mandarin"</x:formula>
    </x:cfRule>
    <x:cfRule type="cellIs" dxfId="11" priority="3" operator="equal">
      <x:formula>"English"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6" hidden="0" customWidth="1"/>
    <x:col min="9" max="9" width="18" hidden="0" customWidth="1"/>
  </x:cols>
  <x:sheetData>
    <x:row r="1" ht="32" customHeight="1">
      <x:c r="A1" s="5" t="str">
        <x:v>Fig. 6 source — A/B context recoding with the same five nodeIDs</x:v>
      </x:c>
      <x:c r="B1" s="5" t="str">
        <x:v>Fig. 6 source — A/B context recoding with the same five nodeIDs</x:v>
      </x:c>
      <x:c r="C1" s="5" t="str">
        <x:v>Fig. 6 source — A/B context recoding with the same five nodeIDs</x:v>
      </x:c>
      <x:c r="D1" s="5" t="str">
        <x:v>Fig. 6 source — A/B context recoding with the same five nodeIDs</x:v>
      </x:c>
      <x:c r="E1" s="5" t="str">
        <x:v>Fig. 6 source — A/B context recoding with the same five nodeIDs</x:v>
      </x:c>
      <x:c r="F1" s="5" t="str">
        <x:v>Fig. 6 source — A/B context recoding with the same five nodeIDs</x:v>
      </x:c>
      <x:c r="G1" s="5" t="str">
        <x:v>Fig. 6 source — A/B context recoding with the same five nodeIDs</x:v>
      </x:c>
      <x:c r="H1" s="5" t="str">
        <x:v>Fig. 6 source — A/B context recoding with the same five nodeIDs</x:v>
      </x:c>
      <x:c r="I1" s="5" t="str">
        <x:v>Fig. 6 source — A/B context recoding with the same five nodeIDs</x:v>
      </x:c>
    </x:row>
    <x:row r="2">
      <x:c r="A2" s="2"/>
      <x:c r="B2" s="2"/>
      <x:c r="C2" s="2"/>
      <x:c r="D2" s="2"/>
      <x:c r="E2" s="2"/>
      <x:c r="F2" s="2"/>
      <x:c r="G2" s="2"/>
      <x:c r="H2" s="2"/>
      <x:c r="I2" s="2"/>
    </x:row>
    <x:row r="3" ht="34" customHeight="1">
      <x:c r="A3" s="11" t="str">
        <x:v>nodeID</x:v>
      </x:c>
      <x:c r="B3" s="11" t="str">
        <x:v>household</x:v>
      </x:c>
      <x:c r="C3" s="11" t="str">
        <x:v>extended family</x:v>
      </x:c>
      <x:c r="D3" s="11" t="str">
        <x:v>community</x:v>
      </x:c>
      <x:c r="E3" s="11" t="str">
        <x:v>school</x:v>
      </x:c>
      <x:c r="F3" s="11" t="str">
        <x:v>work</x:v>
      </x:c>
      <x:c r="G3" s="11" t="str">
        <x:v>social</x:v>
      </x:c>
      <x:c r="H3" s="11" t="str">
        <x:v>→</x:v>
      </x:c>
      <x:c r="I3" s="11" t="str">
        <x:v>derived context</x:v>
      </x:c>
    </x:row>
    <x:row r="4">
      <x:c r="A4" s="27" t="n">
        <x:f>'Raw_Flags'!C5</x:f>
        <x:v>2</x:v>
      </x:c>
      <x:c r="B4" s="27" t="b">
        <x:f>'Raw_Flags'!D5</x:f>
        <x:v>1</x:v>
      </x:c>
      <x:c r="C4" s="27" t="b">
        <x:f>'Raw_Flags'!E5</x:f>
        <x:v>0</x:v>
      </x:c>
      <x:c r="D4" s="27" t="b">
        <x:f>'Raw_Flags'!F5</x:f>
        <x:v>0</x:v>
      </x:c>
      <x:c r="E4" s="27" t="b">
        <x:f>'Raw_Flags'!G5</x:f>
        <x:v>0</x:v>
      </x:c>
      <x:c r="F4" s="27" t="b">
        <x:f>'Raw_Flags'!H5</x:f>
        <x:v>0</x:v>
      </x:c>
      <x:c r="G4" s="27" t="b">
        <x:f>'Raw_Flags'!I5</x:f>
        <x:v>0</x:v>
      </x:c>
      <x:c r="H4" s="27" t="str">
        <x:v>→</x:v>
      </x:c>
      <x:c r="I4" s="13" t="str">
        <x:f>'Tidy_Alter'!F5</x:f>
        <x:v>family</x:v>
      </x:c>
    </x:row>
    <x:row r="5">
      <x:c r="A5" s="27" t="n">
        <x:f>'Raw_Flags'!C6</x:f>
        <x:v>3</x:v>
      </x:c>
      <x:c r="B5" s="27" t="b">
        <x:f>'Raw_Flags'!D6</x:f>
        <x:v>1</x:v>
      </x:c>
      <x:c r="C5" s="27" t="b">
        <x:f>'Raw_Flags'!E6</x:f>
        <x:v>0</x:v>
      </x:c>
      <x:c r="D5" s="27" t="b">
        <x:f>'Raw_Flags'!F6</x:f>
        <x:v>0</x:v>
      </x:c>
      <x:c r="E5" s="27" t="b">
        <x:f>'Raw_Flags'!G6</x:f>
        <x:v>0</x:v>
      </x:c>
      <x:c r="F5" s="27" t="b">
        <x:f>'Raw_Flags'!H6</x:f>
        <x:v>0</x:v>
      </x:c>
      <x:c r="G5" s="27" t="b">
        <x:f>'Raw_Flags'!I6</x:f>
        <x:v>0</x:v>
      </x:c>
      <x:c r="H5" s="27" t="str">
        <x:v>→</x:v>
      </x:c>
      <x:c r="I5" s="13" t="str">
        <x:f>'Tidy_Alter'!F6</x:f>
        <x:v>family</x:v>
      </x:c>
    </x:row>
    <x:row r="6">
      <x:c r="A6" s="27" t="n">
        <x:f>'Raw_Flags'!C8</x:f>
        <x:v>5</x:v>
      </x:c>
      <x:c r="B6" s="27" t="b">
        <x:f>'Raw_Flags'!D8</x:f>
        <x:v>0</x:v>
      </x:c>
      <x:c r="C6" s="27" t="b">
        <x:f>'Raw_Flags'!E8</x:f>
        <x:v>0</x:v>
      </x:c>
      <x:c r="D6" s="27" t="b">
        <x:f>'Raw_Flags'!F8</x:f>
        <x:v>0</x:v>
      </x:c>
      <x:c r="E6" s="27" t="b">
        <x:f>'Raw_Flags'!G8</x:f>
        <x:v>0</x:v>
      </x:c>
      <x:c r="F6" s="27" t="b">
        <x:f>'Raw_Flags'!H8</x:f>
        <x:v>0</x:v>
      </x:c>
      <x:c r="G6" s="27" t="b">
        <x:f>'Raw_Flags'!I8</x:f>
        <x:v>1</x:v>
      </x:c>
      <x:c r="H6" s="27" t="str">
        <x:v>→</x:v>
      </x:c>
      <x:c r="I6" s="13" t="str">
        <x:f>'Tidy_Alter'!F8</x:f>
        <x:v>social</x:v>
      </x:c>
    </x:row>
    <x:row r="7">
      <x:c r="A7" s="27" t="n">
        <x:f>'Raw_Flags'!C11</x:f>
        <x:v>8</x:v>
      </x:c>
      <x:c r="B7" s="27" t="b">
        <x:f>'Raw_Flags'!D11</x:f>
        <x:v>0</x:v>
      </x:c>
      <x:c r="C7" s="27" t="b">
        <x:f>'Raw_Flags'!E11</x:f>
        <x:v>0</x:v>
      </x:c>
      <x:c r="D7" s="27" t="b">
        <x:f>'Raw_Flags'!F11</x:f>
        <x:v>1</x:v>
      </x:c>
      <x:c r="E7" s="27" t="b">
        <x:f>'Raw_Flags'!G11</x:f>
        <x:v>0</x:v>
      </x:c>
      <x:c r="F7" s="27" t="b">
        <x:f>'Raw_Flags'!H11</x:f>
        <x:v>0</x:v>
      </x:c>
      <x:c r="G7" s="27" t="b">
        <x:f>'Raw_Flags'!I11</x:f>
        <x:v>0</x:v>
      </x:c>
      <x:c r="H7" s="27" t="str">
        <x:v>→</x:v>
      </x:c>
      <x:c r="I7" s="13" t="str">
        <x:f>'Tidy_Alter'!F11</x:f>
        <x:v>community</x:v>
      </x:c>
    </x:row>
    <x:row r="8">
      <x:c r="A8" s="27" t="n">
        <x:f>'Raw_Flags'!C17</x:f>
        <x:v>14</x:v>
      </x:c>
      <x:c r="B8" s="27" t="b">
        <x:f>'Raw_Flags'!D17</x:f>
        <x:v>0</x:v>
      </x:c>
      <x:c r="C8" s="27" t="b">
        <x:f>'Raw_Flags'!E17</x:f>
        <x:v>0</x:v>
      </x:c>
      <x:c r="D8" s="27" t="b">
        <x:f>'Raw_Flags'!F17</x:f>
        <x:v>0</x:v>
      </x:c>
      <x:c r="E8" s="27" t="b">
        <x:f>'Raw_Flags'!G17</x:f>
        <x:v>1</x:v>
      </x:c>
      <x:c r="F8" s="27" t="b">
        <x:f>'Raw_Flags'!H17</x:f>
        <x:v>0</x:v>
      </x:c>
      <x:c r="G8" s="27" t="b">
        <x:f>'Raw_Flags'!I17</x:f>
        <x:v>0</x:v>
      </x:c>
      <x:c r="H8" s="27" t="str">
        <x:v>→</x:v>
      </x:c>
      <x:c r="I8" s="13" t="str">
        <x:f>'Tidy_Alter'!F17</x:f>
        <x:v>school</x:v>
      </x:c>
    </x:row>
    <x:row r="9">
      <x:c r="A9" s="2"/>
      <x:c r="B9" s="2"/>
      <x:c r="C9" s="2"/>
      <x:c r="D9" s="2"/>
      <x:c r="E9" s="2"/>
      <x:c r="F9" s="2"/>
      <x:c r="G9" s="2"/>
      <x:c r="H9" s="2"/>
      <x:c r="I9" s="2"/>
    </x:row>
    <x:row r="10">
      <x:c r="A10" s="28" t="str">
        <x:v>One primary context is selected per completed dyad; household and extended-family are recoded as family.</x:v>
      </x:c>
      <x:c r="B10" s="28"/>
      <x:c r="C10" s="28"/>
      <x:c r="D10" s="28"/>
      <x:c r="E10" s="28"/>
      <x:c r="F10" s="28"/>
      <x:c r="G10" s="28"/>
      <x:c r="H10" s="28"/>
      <x:c r="I10" s="28"/>
    </x:row>
  </x:sheetData>
  <x:mergeCells>
    <x:mergeCell ref="A1:I1"/>
    <x:mergeCell ref="A10:I10"/>
  </x:mergeCells>
  <x:conditionalFormatting sqref="I4:I8">
    <x:cfRule type="cellIs" dxfId="12" priority="1" operator="equal">
      <x:formula>"family"</x:formula>
    </x:cfRule>
    <x:cfRule type="cellIs" dxfId="13" priority="2" operator="equal">
      <x:formula>"social"</x:formula>
    </x:cfRule>
    <x:cfRule type="cellIs" dxfId="14" priority="3" operator="equal">
      <x:formula>"community"</x:formula>
    </x:cfRule>
    <x:cfRule type="cellIs" dxfId="15" priority="4" operator="equal">
      <x:formula>"school"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16" hidden="0" customWidth="1"/>
    <x:col min="12" max="12" width="16" hidden="0" customWidth="1"/>
    <x:col min="13" max="13" width="23" hidden="0" customWidth="1"/>
    <x:col min="14" max="14" width="23" hidden="0" customWidth="1"/>
  </x:cols>
  <x:sheetData>
    <x:row r="1" ht="32" customHeight="1">
      <x:c r="A1" s="5" t="str">
        <x:v>Fig. 7 source — wide-format ego-level compositional measures</x:v>
      </x:c>
      <x:c r="B1" s="5" t="str">
        <x:v>Fig. 7 source — wide-format ego-level compositional measures</x:v>
      </x:c>
      <x:c r="C1" s="5" t="str">
        <x:v>Fig. 7 source — wide-format ego-level compositional measures</x:v>
      </x:c>
      <x:c r="D1" s="5" t="str">
        <x:v>Fig. 7 source — wide-format ego-level compositional measures</x:v>
      </x:c>
      <x:c r="E1" s="5" t="str">
        <x:v>Fig. 7 source — wide-format ego-level compositional measures</x:v>
      </x:c>
      <x:c r="F1" s="5" t="str">
        <x:v>Fig. 7 source — wide-format ego-level compositional measures</x:v>
      </x:c>
      <x:c r="G1" s="5" t="str">
        <x:v>Fig. 7 source — wide-format ego-level compositional measures</x:v>
      </x:c>
      <x:c r="H1" s="5" t="str">
        <x:v>Fig. 7 source — wide-format ego-level compositional measures</x:v>
      </x:c>
      <x:c r="I1" s="5" t="str">
        <x:v>Fig. 7 source — wide-format ego-level compositional measures</x:v>
      </x:c>
      <x:c r="J1" s="5" t="str">
        <x:v>Fig. 7 source — wide-format ego-level compositional measures</x:v>
      </x:c>
      <x:c r="K1" s="5" t="str">
        <x:v>Fig. 7 source — wide-format ego-level compositional measures</x:v>
      </x:c>
      <x:c r="L1" s="5" t="str">
        <x:v>Fig. 7 source — wide-format ego-level compositional measures</x:v>
      </x:c>
      <x:c r="M1" s="5" t="str">
        <x:v>Fig. 7 source — wide-format ego-level compositional measures</x:v>
      </x:c>
      <x:c r="N1" s="5" t="str">
        <x:v>Fig. 7 source — wide-format ego-level compositional measures</x:v>
      </x:c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34" customHeight="1">
      <x:c r="A3" s="11" t="str">
        <x:v>participant_id</x:v>
      </x:c>
      <x:c r="B3" s="11" t="str">
        <x:v>cs_global</x:v>
      </x:c>
      <x:c r="C3" s="11" t="str">
        <x:v>cs_family</x:v>
      </x:c>
      <x:c r="D3" s="11" t="str">
        <x:v>cs_community</x:v>
      </x:c>
      <x:c r="E3" s="11" t="str">
        <x:v>cs_social</x:v>
      </x:c>
      <x:c r="F3" s="11" t="str">
        <x:v>cs_school</x:v>
      </x:c>
      <x:c r="G3" s="11" t="str">
        <x:v>mandarin_global_prop</x:v>
      </x:c>
      <x:c r="H3" s="11" t="str">
        <x:v>mandarin_family_prop</x:v>
      </x:c>
      <x:c r="I3" s="11" t="str">
        <x:v>mandarin_community_prop</x:v>
      </x:c>
      <x:c r="J3" s="11" t="str">
        <x:v>mandarin_social_prop</x:v>
      </x:c>
      <x:c r="K3" s="11" t="str">
        <x:v>ego_l1</x:v>
      </x:c>
      <x:c r="L3" s="11" t="str">
        <x:v>ego_l2</x:v>
      </x:c>
      <x:c r="M3" s="11" t="str">
        <x:v>prop_l1_homophily</x:v>
      </x:c>
      <x:c r="N3" s="11" t="str">
        <x:v>prop_l2_homophily</x:v>
      </x:c>
    </x:row>
    <x:row r="4">
      <x:c r="A4" s="13" t="str">
        <x:v>jefwan37</x:v>
      </x:c>
      <x:c r="B4" s="29" t="n">
        <x:f>AVERAGE('Tidy_Alter'!$N$4:$N$18)</x:f>
        <x:v>1.5333333333333334</x:v>
      </x:c>
      <x:c r="C4" s="29" t="n">
        <x:f>AVERAGEIF('Tidy_Alter'!$F$4:$F$18,"family",'Tidy_Alter'!$N$4:$N$18)</x:f>
        <x:v>0.5</x:v>
      </x:c>
      <x:c r="D4" s="29" t="n">
        <x:f>AVERAGEIF('Tidy_Alter'!$F$4:$F$18,"community",'Tidy_Alter'!$N$4:$N$18)</x:f>
        <x:v>2</x:v>
      </x:c>
      <x:c r="E4" s="29" t="n">
        <x:f>AVERAGEIF('Tidy_Alter'!$F$4:$F$18,"social",'Tidy_Alter'!$N$4:$N$18)</x:f>
        <x:v>1.8333333333333333</x:v>
      </x:c>
      <x:c r="F4" s="29" t="n">
        <x:f>AVERAGEIF('Tidy_Alter'!$F$4:$F$18,"school",'Tidy_Alter'!$N$4:$N$18)</x:f>
        <x:v>2</x:v>
      </x:c>
      <x:c r="G4" s="30" t="n">
        <x:f>COUNTIF('Tidy_Alter'!$E$4:$E$18,"Mandarin")/COUNTA('Tidy_Alter'!$E$4:$E$18)</x:f>
        <x:v>0.2</x:v>
      </x:c>
      <x:c r="H4" s="30" t="n">
        <x:f>COUNTIFS('Tidy_Alter'!$F$4:$F$18,"family",'Tidy_Alter'!$E$4:$E$18,"Mandarin")/COUNTIF('Tidy_Alter'!$F$4:$F$18,"family")</x:f>
        <x:v>0.5</x:v>
      </x:c>
      <x:c r="I4" s="30" t="n">
        <x:f>COUNTIFS('Tidy_Alter'!$F$4:$F$18,"community",'Tidy_Alter'!$E$4:$E$18,"Mandarin")/COUNTIF('Tidy_Alter'!$F$4:$F$18,"community")</x:f>
        <x:v>0</x:v>
      </x:c>
      <x:c r="J4" s="30" t="n">
        <x:f>COUNTIFS('Tidy_Alter'!$F$4:$F$18,"social",'Tidy_Alter'!$E$4:$E$18,"Mandarin")/COUNTIF('Tidy_Alter'!$F$4:$F$18,"social")</x:f>
        <x:v>0.16666666666666666</x:v>
      </x:c>
      <x:c r="K4" s="13" t="str">
        <x:v>Mandarin</x:v>
      </x:c>
      <x:c r="L4" s="13" t="str">
        <x:v>English</x:v>
      </x:c>
      <x:c r="M4" s="30" t="n">
        <x:f>(COUNTIF('Tidy_Alter'!$E$4:$E$18,"Mandarin")+COUNTIF('Tidy_Alter'!$E$4:$E$18,"Mandarin-English"))/COUNTA('Tidy_Alter'!$E$4:$E$18)</x:f>
        <x:v>0.6666666666666666</x:v>
      </x:c>
      <x:c r="N4" s="30" t="n">
        <x:f>(COUNTIF('Tidy_Alter'!$E$4:$E$18,"English")+COUNTIF('Tidy_Alter'!$E$4:$E$18,"Mandarin-English"))/COUNTA('Tidy_Alter'!$E$4:$E$18)</x:f>
        <x:v>0.8</x:v>
      </x:c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34" customHeight="1">
      <x:c r="A7" s="11" t="str">
        <x:v>interaction_context</x:v>
      </x:c>
      <x:c r="B7" s="11" t="str">
        <x:v>n_dyads</x:v>
      </x:c>
      <x:c r="C7" s="11" t="str">
        <x:v>cs_mean_zero_coded</x:v>
      </x:c>
      <x:c r="D7" s="11" t="str">
        <x:v>mandarin_prop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13" t="str">
        <x:v>family</x:v>
      </x:c>
      <x:c r="B8" s="13" t="n">
        <x:f>COUNTIF('Tidy_Alter'!$F$4:$F$18,A8)</x:f>
        <x:v>4</x:v>
      </x:c>
      <x:c r="C8" s="29" t="n">
        <x:f>AVERAGEIF('Tidy_Alter'!$F$4:$F$18,A8,'Tidy_Alter'!$N$4:$N$18)</x:f>
        <x:v>0.5</x:v>
      </x:c>
      <x:c r="D8" s="30" t="n">
        <x:f>COUNTIFS('Tidy_Alter'!$F$4:$F$18,A8,'Tidy_Alter'!$E$4:$E$18,"Mandarin")/B8</x:f>
        <x:v>0.5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>
      <x:c r="A9" s="13" t="str">
        <x:v>community</x:v>
      </x:c>
      <x:c r="B9" s="13" t="n">
        <x:f>COUNTIF('Tidy_Alter'!$F$4:$F$18,A9)</x:f>
        <x:v>4</x:v>
      </x:c>
      <x:c r="C9" s="29" t="n">
        <x:f>AVERAGEIF('Tidy_Alter'!$F$4:$F$18,A9,'Tidy_Alter'!$N$4:$N$18)</x:f>
        <x:v>2</x:v>
      </x:c>
      <x:c r="D9" s="30" t="n">
        <x:f>COUNTIFS('Tidy_Alter'!$F$4:$F$18,A9,'Tidy_Alter'!$E$4:$E$18,"Mandarin")/B9</x:f>
        <x:v>0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13" t="str">
        <x:v>social</x:v>
      </x:c>
      <x:c r="B10" s="13" t="n">
        <x:f>COUNTIF('Tidy_Alter'!$F$4:$F$18,A10)</x:f>
        <x:v>6</x:v>
      </x:c>
      <x:c r="C10" s="29" t="n">
        <x:f>AVERAGEIF('Tidy_Alter'!$F$4:$F$18,A10,'Tidy_Alter'!$N$4:$N$18)</x:f>
        <x:v>1.8333333333333333</x:v>
      </x:c>
      <x:c r="D10" s="30" t="n">
        <x:f>COUNTIFS('Tidy_Alter'!$F$4:$F$18,A10,'Tidy_Alter'!$E$4:$E$18,"Mandarin")/B10</x:f>
        <x:v>0.16666666666666666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A11" s="13" t="str">
        <x:v>school</x:v>
      </x:c>
      <x:c r="B11" s="13" t="n">
        <x:f>COUNTIF('Tidy_Alter'!$F$4:$F$18,A11)</x:f>
        <x:v>1</x:v>
      </x:c>
      <x:c r="C11" s="29" t="n">
        <x:f>AVERAGEIF('Tidy_Alter'!$F$4:$F$18,A11,'Tidy_Alter'!$N$4:$N$18)</x:f>
        <x:v>2</x:v>
      </x:c>
      <x:c r="D11" s="30" t="n">
        <x:f>COUNTIFS('Tidy_Alter'!$F$4:$F$18,A11,'Tidy_Alter'!$E$4:$E$18,"Mandarin")/B11</x:f>
        <x:v>0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</x:sheetData>
  <x:mergeCells>
    <x:mergeCell ref="A1:N1"/>
  </x:mergeCells>
  <x:conditionalFormatting sqref="A8:A11">
    <x:cfRule type="cellIs" dxfId="16" priority="1" operator="equal">
      <x:formula>"family"</x:formula>
    </x:cfRule>
    <x:cfRule type="cellIs" dxfId="17" priority="2" operator="equal">
      <x:formula>"social"</x:formula>
    </x:cfRule>
    <x:cfRule type="cellIs" dxfId="18" priority="3" operator="equal">
      <x:formula>"community"</x:formula>
    </x:cfRule>
    <x:cfRule type="cellIs" dxfId="19" priority="4" operator="equal">
      <x:formula>"school"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</x:cols>
  <x:sheetData>
    <x:row r="1" ht="32" customHeight="1">
      <x:c r="A1" s="5" t="str">
        <x:v>Observed topology: 21 alter–alter ties</x:v>
      </x:c>
      <x:c r="B1" s="5" t="str">
        <x:v>Observed topology: 21 alter–alter ties</x:v>
      </x:c>
    </x:row>
    <x:row r="2">
      <x:c r="A2" s="2"/>
      <x:c r="B2" s="2"/>
    </x:row>
    <x:row r="3" ht="34" customHeight="1">
      <x:c r="A3" s="11" t="str">
        <x:v>source</x:v>
      </x:c>
      <x:c r="B3" s="11" t="str">
        <x:v>target</x:v>
      </x:c>
    </x:row>
    <x:row r="4">
      <x:c r="A4" s="13" t="str">
        <x:v>A01</x:v>
      </x:c>
      <x:c r="B4" s="13" t="str">
        <x:v>A02</x:v>
      </x:c>
    </x:row>
    <x:row r="5">
      <x:c r="A5" s="13" t="str">
        <x:v>A01</x:v>
      </x:c>
      <x:c r="B5" s="13" t="str">
        <x:v>A03</x:v>
      </x:c>
    </x:row>
    <x:row r="6">
      <x:c r="A6" s="13" t="str">
        <x:v>A02</x:v>
      </x:c>
      <x:c r="B6" s="13" t="str">
        <x:v>A03</x:v>
      </x:c>
    </x:row>
    <x:row r="7">
      <x:c r="A7" s="13" t="str">
        <x:v>A02</x:v>
      </x:c>
      <x:c r="B7" s="13" t="str">
        <x:v>A04</x:v>
      </x:c>
    </x:row>
    <x:row r="8">
      <x:c r="A8" s="13" t="str">
        <x:v>A03</x:v>
      </x:c>
      <x:c r="B8" s="13" t="str">
        <x:v>A04</x:v>
      </x:c>
    </x:row>
    <x:row r="9">
      <x:c r="A9" s="13" t="str">
        <x:v>A03</x:v>
      </x:c>
      <x:c r="B9" s="13" t="str">
        <x:v>A11</x:v>
      </x:c>
    </x:row>
    <x:row r="10">
      <x:c r="A10" s="13" t="str">
        <x:v>A03</x:v>
      </x:c>
      <x:c r="B10" s="13" t="str">
        <x:v>A15</x:v>
      </x:c>
    </x:row>
    <x:row r="11">
      <x:c r="A11" s="13" t="str">
        <x:v>A05</x:v>
      </x:c>
      <x:c r="B11" s="13" t="str">
        <x:v>A06</x:v>
      </x:c>
    </x:row>
    <x:row r="12">
      <x:c r="A12" s="13" t="str">
        <x:v>A05</x:v>
      </x:c>
      <x:c r="B12" s="13" t="str">
        <x:v>A07</x:v>
      </x:c>
    </x:row>
    <x:row r="13">
      <x:c r="A13" s="13" t="str">
        <x:v>A05</x:v>
      </x:c>
      <x:c r="B13" s="13" t="str">
        <x:v>A10</x:v>
      </x:c>
    </x:row>
    <x:row r="14">
      <x:c r="A14" s="13" t="str">
        <x:v>A05</x:v>
      </x:c>
      <x:c r="B14" s="13" t="str">
        <x:v>A11</x:v>
      </x:c>
    </x:row>
    <x:row r="15">
      <x:c r="A15" s="13" t="str">
        <x:v>A05</x:v>
      </x:c>
      <x:c r="B15" s="13" t="str">
        <x:v>A13</x:v>
      </x:c>
    </x:row>
    <x:row r="16">
      <x:c r="A16" s="13" t="str">
        <x:v>A06</x:v>
      </x:c>
      <x:c r="B16" s="13" t="str">
        <x:v>A07</x:v>
      </x:c>
    </x:row>
    <x:row r="17">
      <x:c r="A17" s="13" t="str">
        <x:v>A06</x:v>
      </x:c>
      <x:c r="B17" s="13" t="str">
        <x:v>A08</x:v>
      </x:c>
    </x:row>
    <x:row r="18">
      <x:c r="A18" s="13" t="str">
        <x:v>A06</x:v>
      </x:c>
      <x:c r="B18" s="13" t="str">
        <x:v>A09</x:v>
      </x:c>
    </x:row>
    <x:row r="19">
      <x:c r="A19" s="13" t="str">
        <x:v>A06</x:v>
      </x:c>
      <x:c r="B19" s="13" t="str">
        <x:v>A10</x:v>
      </x:c>
    </x:row>
    <x:row r="20">
      <x:c r="A20" s="13" t="str">
        <x:v>A07</x:v>
      </x:c>
      <x:c r="B20" s="13" t="str">
        <x:v>A08</x:v>
      </x:c>
    </x:row>
    <x:row r="21">
      <x:c r="A21" s="13" t="str">
        <x:v>A07</x:v>
      </x:c>
      <x:c r="B21" s="13" t="str">
        <x:v>A09</x:v>
      </x:c>
    </x:row>
    <x:row r="22">
      <x:c r="A22" s="13" t="str">
        <x:v>A08</x:v>
      </x:c>
      <x:c r="B22" s="13" t="str">
        <x:v>A09</x:v>
      </x:c>
    </x:row>
    <x:row r="23">
      <x:c r="A23" s="13" t="str">
        <x:v>A11</x:v>
      </x:c>
      <x:c r="B23" s="13" t="str">
        <x:v>A13</x:v>
      </x:c>
    </x:row>
    <x:row r="24">
      <x:c r="A24" s="13" t="str">
        <x:v>A11</x:v>
      </x:c>
      <x:c r="B24" s="13" t="str">
        <x:v>A14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8b1de29ee5f8484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2" customHeight="1">
      <x:c r="A1" s="5" t="str">
        <x:v>Quality checks for the replacement respondent</x:v>
      </x:c>
      <x:c r="B1" s="5" t="str">
        <x:v>Quality checks for the replacement respondent</x:v>
      </x:c>
      <x:c r="C1" s="5" t="str">
        <x:v>Quality checks for the replacement respondent</x:v>
      </x:c>
      <x:c r="D1" s="5" t="str">
        <x:v>Quality checks for the replacement respondent</x:v>
      </x:c>
      <x:c r="E1" s="5" t="str">
        <x:v>Quality checks for the replacement respondent</x:v>
      </x:c>
      <x:c r="F1" s="5" t="str">
        <x:v>Quality checks for the replacement respondent</x:v>
      </x:c>
      <x:c r="G1" s="5" t="str">
        <x:v>Quality checks for the replacement respondent</x:v>
      </x:c>
      <x:c r="H1" s="5" t="str">
        <x:v>Quality checks for the replacement respondent</x:v>
      </x:c>
    </x:row>
    <x:row r="2">
      <x:c r="A2" s="2"/>
      <x:c r="B2" s="2"/>
      <x:c r="C2" s="2"/>
      <x:c r="D2" s="2"/>
      <x:c r="E2" s="2"/>
      <x:c r="F2" s="2"/>
      <x:c r="G2" s="2"/>
      <x:c r="H2" s="2"/>
    </x:row>
    <x:row r="3" ht="34" customHeight="1">
      <x:c r="A3" s="11" t="str">
        <x:v>Check</x:v>
      </x:c>
      <x:c r="B3" s="11" t="str">
        <x:v>Value</x:v>
      </x:c>
      <x:c r="C3" s="11" t="str">
        <x:v>Expected</x:v>
      </x:c>
      <x:c r="D3" s="2"/>
      <x:c r="E3" s="11" t="str">
        <x:v>nodeID</x:v>
      </x:c>
      <x:c r="F3" s="11" t="str">
        <x:v>Context flags</x:v>
      </x:c>
      <x:c r="G3" s="11" t="str">
        <x:v>Interaction languages</x:v>
      </x:c>
      <x:c r="H3" s="11" t="str">
        <x:v>CS routing</x:v>
      </x:c>
    </x:row>
    <x:row r="4">
      <x:c r="A4" s="13" t="str">
        <x:v>Number of alters</x:v>
      </x:c>
      <x:c r="B4" s="13" t="n">
        <x:f>COUNTA('Tidy_Alter'!$B$4:$B$18)</x:f>
        <x:v>15</x:v>
      </x:c>
      <x:c r="C4" s="13" t="n">
        <x:v>15</x:v>
      </x:c>
      <x:c r="D4" s="2"/>
      <x:c r="E4" s="13" t="n">
        <x:f>'Raw_Flags'!C4</x:f>
        <x:v>1</x:v>
      </x:c>
      <x:c r="F4" s="13" t="n">
        <x:f>IF('Raw_Flags'!D4,1,0)+IF('Raw_Flags'!E4,1,0)+IF('Raw_Flags'!F4,1,0)+IF('Raw_Flags'!G4,1,0)+IF('Raw_Flags'!H4,1,0)+IF('Raw_Flags'!I4,1,0)</x:f>
        <x:v>1</x:v>
      </x:c>
      <x:c r="G4" s="13" t="n">
        <x:f>IF('Raw_Flags'!L4,1,0)+IF('Raw_Flags'!M4,1,0)</x:f>
        <x:v>2</x:v>
      </x:c>
      <x:c r="H4" s="13" t="str">
        <x:f>IF(AND(G4=1,'Raw_Flags'!P4&lt;&gt;""),"CHECK",IF(AND(G4=2,'Raw_Flags'!P4=""),"CHECK","PASS"))</x:f>
        <x:v>PASS</x:v>
      </x:c>
    </x:row>
    <x:row r="5">
      <x:c r="A5" s="13" t="str">
        <x:v>Number of alter–alter ties</x:v>
      </x:c>
      <x:c r="B5" s="13" t="n">
        <x:f>COUNTA('Alter_Edges'!$A$4:$A$24)</x:f>
        <x:v>21</x:v>
      </x:c>
      <x:c r="C5" s="13" t="n">
        <x:v>21</x:v>
      </x:c>
      <x:c r="D5" s="2"/>
      <x:c r="E5" s="13" t="n">
        <x:f>'Raw_Flags'!C5</x:f>
        <x:v>2</x:v>
      </x:c>
      <x:c r="F5" s="13" t="n">
        <x:f>IF('Raw_Flags'!D5,1,0)+IF('Raw_Flags'!E5,1,0)+IF('Raw_Flags'!F5,1,0)+IF('Raw_Flags'!G5,1,0)+IF('Raw_Flags'!H5,1,0)+IF('Raw_Flags'!I5,1,0)</x:f>
        <x:v>1</x:v>
      </x:c>
      <x:c r="G5" s="13" t="n">
        <x:f>IF('Raw_Flags'!L5,1,0)+IF('Raw_Flags'!M5,1,0)</x:f>
        <x:v>1</x:v>
      </x:c>
      <x:c r="H5" s="13" t="str">
        <x:f>IF(AND(G5=1,'Raw_Flags'!P5&lt;&gt;""),"CHECK",IF(AND(G5=2,'Raw_Flags'!P5=""),"CHECK","PASS"))</x:f>
        <x:v>PASS</x:v>
      </x:c>
    </x:row>
    <x:row r="6">
      <x:c r="A6" s="13" t="str">
        <x:v>Number of reported CS ratings</x:v>
      </x:c>
      <x:c r="B6" s="13" t="n">
        <x:f>COUNT('Tidy_Alter'!$I$4:$I$18)</x:f>
        <x:v>7</x:v>
      </x:c>
      <x:c r="C6" s="13" t="n">
        <x:v>7</x:v>
      </x:c>
      <x:c r="D6" s="2"/>
      <x:c r="E6" s="13" t="n">
        <x:f>'Raw_Flags'!C6</x:f>
        <x:v>3</x:v>
      </x:c>
      <x:c r="F6" s="13" t="n">
        <x:f>IF('Raw_Flags'!D6,1,0)+IF('Raw_Flags'!E6,1,0)+IF('Raw_Flags'!F6,1,0)+IF('Raw_Flags'!G6,1,0)+IF('Raw_Flags'!H6,1,0)+IF('Raw_Flags'!I6,1,0)</x:f>
        <x:v>1</x:v>
      </x:c>
      <x:c r="G6" s="13" t="n">
        <x:f>IF('Raw_Flags'!L6,1,0)+IF('Raw_Flags'!M6,1,0)</x:f>
        <x:v>1</x:v>
      </x:c>
      <x:c r="H6" s="13" t="str">
        <x:f>IF(AND(G6=1,'Raw_Flags'!P6&lt;&gt;""),"CHECK",IF(AND(G6=2,'Raw_Flags'!P6=""),"CHECK","PASS"))</x:f>
        <x:v>PASS</x:v>
      </x:c>
    </x:row>
    <x:row r="7">
      <x:c r="A7" s="13" t="str">
        <x:v>Dyads in global CS mean</x:v>
      </x:c>
      <x:c r="B7" s="13" t="n">
        <x:f>COUNT('Tidy_Alter'!$N$4:$N$18)</x:f>
        <x:v>15</x:v>
      </x:c>
      <x:c r="C7" s="13" t="n">
        <x:v>15</x:v>
      </x:c>
      <x:c r="D7" s="2"/>
      <x:c r="E7" s="13" t="n">
        <x:f>'Raw_Flags'!C7</x:f>
        <x:v>4</x:v>
      </x:c>
      <x:c r="F7" s="13" t="n">
        <x:f>IF('Raw_Flags'!D7,1,0)+IF('Raw_Flags'!E7,1,0)+IF('Raw_Flags'!F7,1,0)+IF('Raw_Flags'!G7,1,0)+IF('Raw_Flags'!H7,1,0)+IF('Raw_Flags'!I7,1,0)</x:f>
        <x:v>1</x:v>
      </x:c>
      <x:c r="G7" s="13" t="n">
        <x:f>IF('Raw_Flags'!L7,1,0)+IF('Raw_Flags'!M7,1,0)</x:f>
        <x:v>1</x:v>
      </x:c>
      <x:c r="H7" s="13" t="str">
        <x:f>IF(AND(G7=1,'Raw_Flags'!P7&lt;&gt;""),"CHECK",IF(AND(G7=2,'Raw_Flags'!P7=""),"CHECK","PASS"))</x:f>
        <x:v>PASS</x:v>
      </x:c>
    </x:row>
    <x:row r="8">
      <x:c r="A8" s="13" t="str">
        <x:v>Monolingual dyads with CS</x:v>
      </x:c>
      <x:c r="B8" s="13" t="n">
        <x:f>COUNTIFS('Tidy_Alter'!$E$4:$E$18,"&lt;&gt;Mandarin-English",'Tidy_Alter'!$I$4:$I$18,"&gt;0")</x:f>
        <x:v>0</x:v>
      </x:c>
      <x:c r="C8" s="13" t="n">
        <x:v>0</x:v>
      </x:c>
      <x:c r="D8" s="2"/>
      <x:c r="E8" s="13" t="n">
        <x:f>'Raw_Flags'!C8</x:f>
        <x:v>5</x:v>
      </x:c>
      <x:c r="F8" s="13" t="n">
        <x:f>IF('Raw_Flags'!D8,1,0)+IF('Raw_Flags'!E8,1,0)+IF('Raw_Flags'!F8,1,0)+IF('Raw_Flags'!G8,1,0)+IF('Raw_Flags'!H8,1,0)+IF('Raw_Flags'!I8,1,0)</x:f>
        <x:v>1</x:v>
      </x:c>
      <x:c r="G8" s="13" t="n">
        <x:f>IF('Raw_Flags'!L8,1,0)+IF('Raw_Flags'!M8,1,0)</x:f>
        <x:v>2</x:v>
      </x:c>
      <x:c r="H8" s="13" t="str">
        <x:f>IF(AND(G8=1,'Raw_Flags'!P8&lt;&gt;""),"CHECK",IF(AND(G8=2,'Raw_Flags'!P8=""),"CHECK","PASS"))</x:f>
        <x:v>PASS</x:v>
      </x:c>
    </x:row>
    <x:row r="9">
      <x:c r="A9" s="2" t="str">
        <x:v>Multilingual dyads missing CS</x:v>
      </x:c>
      <x:c r="B9" s="2" t="n">
        <x:f>COUNTIFS('Tidy_Alter'!$E$4:$E$18,"Mandarin-English",'Tidy_Alter'!$I$4:$I$18,"")</x:f>
        <x:v>0</x:v>
      </x:c>
      <x:c r="C9" s="2" t="n">
        <x:v>0</x:v>
      </x:c>
      <x:c r="D9" s="2"/>
      <x:c r="E9" s="13" t="n">
        <x:f>'Raw_Flags'!C9</x:f>
        <x:v>6</x:v>
      </x:c>
      <x:c r="F9" s="13" t="n">
        <x:f>IF('Raw_Flags'!D9,1,0)+IF('Raw_Flags'!E9,1,0)+IF('Raw_Flags'!F9,1,0)+IF('Raw_Flags'!G9,1,0)+IF('Raw_Flags'!H9,1,0)+IF('Raw_Flags'!I9,1,0)</x:f>
        <x:v>1</x:v>
      </x:c>
      <x:c r="G9" s="13" t="n">
        <x:f>IF('Raw_Flags'!L9,1,0)+IF('Raw_Flags'!M9,1,0)</x:f>
        <x:v>1</x:v>
      </x:c>
      <x:c r="H9" s="13" t="str">
        <x:f>IF(AND(G9=1,'Raw_Flags'!P9&lt;&gt;""),"CHECK",IF(AND(G9=2,'Raw_Flags'!P9=""),"CHECK","PASS"))</x:f>
        <x:v>PASS</x:v>
      </x:c>
    </x:row>
    <x:row r="10">
      <x:c r="A10" s="2"/>
      <x:c r="B10" s="2"/>
      <x:c r="C10" s="2"/>
      <x:c r="D10" s="2"/>
      <x:c r="E10" s="13" t="n">
        <x:f>'Raw_Flags'!C10</x:f>
        <x:v>7</x:v>
      </x:c>
      <x:c r="F10" s="13" t="n">
        <x:f>IF('Raw_Flags'!D10,1,0)+IF('Raw_Flags'!E10,1,0)+IF('Raw_Flags'!F10,1,0)+IF('Raw_Flags'!G10,1,0)+IF('Raw_Flags'!H10,1,0)+IF('Raw_Flags'!I10,1,0)</x:f>
        <x:v>1</x:v>
      </x:c>
      <x:c r="G10" s="13" t="n">
        <x:f>IF('Raw_Flags'!L10,1,0)+IF('Raw_Flags'!M10,1,0)</x:f>
        <x:v>1</x:v>
      </x:c>
      <x:c r="H10" s="13" t="str">
        <x:f>IF(AND(G10=1,'Raw_Flags'!P10&lt;&gt;""),"CHECK",IF(AND(G10=2,'Raw_Flags'!P10=""),"CHECK","PASS"))</x:f>
        <x:v>PASS</x:v>
      </x:c>
    </x:row>
    <x:row r="11">
      <x:c r="A11" s="2"/>
      <x:c r="B11" s="2"/>
      <x:c r="C11" s="2"/>
      <x:c r="D11" s="2"/>
      <x:c r="E11" s="13" t="n">
        <x:f>'Raw_Flags'!C11</x:f>
        <x:v>8</x:v>
      </x:c>
      <x:c r="F11" s="13" t="n">
        <x:f>IF('Raw_Flags'!D11,1,0)+IF('Raw_Flags'!E11,1,0)+IF('Raw_Flags'!F11,1,0)+IF('Raw_Flags'!G11,1,0)+IF('Raw_Flags'!H11,1,0)+IF('Raw_Flags'!I11,1,0)</x:f>
        <x:v>1</x:v>
      </x:c>
      <x:c r="G11" s="13" t="n">
        <x:f>IF('Raw_Flags'!L11,1,0)+IF('Raw_Flags'!M11,1,0)</x:f>
        <x:v>2</x:v>
      </x:c>
      <x:c r="H11" s="13" t="str">
        <x:f>IF(AND(G11=1,'Raw_Flags'!P11&lt;&gt;""),"CHECK",IF(AND(G11=2,'Raw_Flags'!P11=""),"CHECK","PASS"))</x:f>
        <x:v>PASS</x:v>
      </x:c>
    </x:row>
    <x:row r="12">
      <x:c r="A12" s="2"/>
      <x:c r="B12" s="2"/>
      <x:c r="C12" s="2"/>
      <x:c r="D12" s="2"/>
      <x:c r="E12" s="13" t="n">
        <x:f>'Raw_Flags'!C12</x:f>
        <x:v>9</x:v>
      </x:c>
      <x:c r="F12" s="13" t="n">
        <x:f>IF('Raw_Flags'!D12,1,0)+IF('Raw_Flags'!E12,1,0)+IF('Raw_Flags'!F12,1,0)+IF('Raw_Flags'!G12,1,0)+IF('Raw_Flags'!H12,1,0)+IF('Raw_Flags'!I12,1,0)</x:f>
        <x:v>1</x:v>
      </x:c>
      <x:c r="G12" s="13" t="n">
        <x:f>IF('Raw_Flags'!L12,1,0)+IF('Raw_Flags'!M12,1,0)</x:f>
        <x:v>2</x:v>
      </x:c>
      <x:c r="H12" s="13" t="str">
        <x:f>IF(AND(G12=1,'Raw_Flags'!P12&lt;&gt;""),"CHECK",IF(AND(G12=2,'Raw_Flags'!P12=""),"CHECK","PASS"))</x:f>
        <x:v>PASS</x:v>
      </x:c>
    </x:row>
    <x:row r="13">
      <x:c r="A13" s="2"/>
      <x:c r="B13" s="2"/>
      <x:c r="C13" s="2"/>
      <x:c r="D13" s="2"/>
      <x:c r="E13" s="13" t="n">
        <x:f>'Raw_Flags'!C13</x:f>
        <x:v>10</x:v>
      </x:c>
      <x:c r="F13" s="13" t="n">
        <x:f>IF('Raw_Flags'!D13,1,0)+IF('Raw_Flags'!E13,1,0)+IF('Raw_Flags'!F13,1,0)+IF('Raw_Flags'!G13,1,0)+IF('Raw_Flags'!H13,1,0)+IF('Raw_Flags'!I13,1,0)</x:f>
        <x:v>1</x:v>
      </x:c>
      <x:c r="G13" s="13" t="n">
        <x:f>IF('Raw_Flags'!L13,1,0)+IF('Raw_Flags'!M13,1,0)</x:f>
        <x:v>2</x:v>
      </x:c>
      <x:c r="H13" s="13" t="str">
        <x:f>IF(AND(G13=1,'Raw_Flags'!P13&lt;&gt;""),"CHECK",IF(AND(G13=2,'Raw_Flags'!P13=""),"CHECK","PASS"))</x:f>
        <x:v>PASS</x:v>
      </x:c>
    </x:row>
    <x:row r="14">
      <x:c r="A14" s="2"/>
      <x:c r="B14" s="2"/>
      <x:c r="C14" s="2"/>
      <x:c r="D14" s="2"/>
      <x:c r="E14" s="13" t="n">
        <x:f>'Raw_Flags'!C14</x:f>
        <x:v>11</x:v>
      </x:c>
      <x:c r="F14" s="13" t="n">
        <x:f>IF('Raw_Flags'!D14,1,0)+IF('Raw_Flags'!E14,1,0)+IF('Raw_Flags'!F14,1,0)+IF('Raw_Flags'!G14,1,0)+IF('Raw_Flags'!H14,1,0)+IF('Raw_Flags'!I14,1,0)</x:f>
        <x:v>1</x:v>
      </x:c>
      <x:c r="G14" s="13" t="n">
        <x:f>IF('Raw_Flags'!L14,1,0)+IF('Raw_Flags'!M14,1,0)</x:f>
        <x:v>2</x:v>
      </x:c>
      <x:c r="H14" s="13" t="str">
        <x:f>IF(AND(G14=1,'Raw_Flags'!P14&lt;&gt;""),"CHECK",IF(AND(G14=2,'Raw_Flags'!P14=""),"CHECK","PASS"))</x:f>
        <x:v>PASS</x:v>
      </x:c>
    </x:row>
    <x:row r="15">
      <x:c r="A15" s="2"/>
      <x:c r="B15" s="2"/>
      <x:c r="C15" s="2"/>
      <x:c r="D15" s="2"/>
      <x:c r="E15" s="13" t="n">
        <x:f>'Raw_Flags'!C15</x:f>
        <x:v>12</x:v>
      </x:c>
      <x:c r="F15" s="13" t="n">
        <x:f>IF('Raw_Flags'!D15,1,0)+IF('Raw_Flags'!E15,1,0)+IF('Raw_Flags'!F15,1,0)+IF('Raw_Flags'!G15,1,0)+IF('Raw_Flags'!H15,1,0)+IF('Raw_Flags'!I15,1,0)</x:f>
        <x:v>1</x:v>
      </x:c>
      <x:c r="G15" s="13" t="n">
        <x:f>IF('Raw_Flags'!L15,1,0)+IF('Raw_Flags'!M15,1,0)</x:f>
        <x:v>1</x:v>
      </x:c>
      <x:c r="H15" s="13" t="str">
        <x:f>IF(AND(G15=1,'Raw_Flags'!P15&lt;&gt;""),"CHECK",IF(AND(G15=2,'Raw_Flags'!P15=""),"CHECK","PASS"))</x:f>
        <x:v>PASS</x:v>
      </x:c>
    </x:row>
    <x:row r="16">
      <x:c r="A16" s="2"/>
      <x:c r="B16" s="2"/>
      <x:c r="C16" s="2"/>
      <x:c r="D16" s="2"/>
      <x:c r="E16" s="13" t="n">
        <x:f>'Raw_Flags'!C16</x:f>
        <x:v>13</x:v>
      </x:c>
      <x:c r="F16" s="13" t="n">
        <x:f>IF('Raw_Flags'!D16,1,0)+IF('Raw_Flags'!E16,1,0)+IF('Raw_Flags'!F16,1,0)+IF('Raw_Flags'!G16,1,0)+IF('Raw_Flags'!H16,1,0)+IF('Raw_Flags'!I16,1,0)</x:f>
        <x:v>1</x:v>
      </x:c>
      <x:c r="G16" s="13" t="n">
        <x:f>IF('Raw_Flags'!L16,1,0)+IF('Raw_Flags'!M16,1,0)</x:f>
        <x:v>1</x:v>
      </x:c>
      <x:c r="H16" s="13" t="str">
        <x:f>IF(AND(G16=1,'Raw_Flags'!P16&lt;&gt;""),"CHECK",IF(AND(G16=2,'Raw_Flags'!P16=""),"CHECK","PASS"))</x:f>
        <x:v>PASS</x:v>
      </x:c>
    </x:row>
    <x:row r="17">
      <x:c r="A17" s="2"/>
      <x:c r="B17" s="2"/>
      <x:c r="C17" s="2"/>
      <x:c r="D17" s="2"/>
      <x:c r="E17" s="13" t="n">
        <x:f>'Raw_Flags'!C17</x:f>
        <x:v>14</x:v>
      </x:c>
      <x:c r="F17" s="13" t="n">
        <x:f>IF('Raw_Flags'!D17,1,0)+IF('Raw_Flags'!E17,1,0)+IF('Raw_Flags'!F17,1,0)+IF('Raw_Flags'!G17,1,0)+IF('Raw_Flags'!H17,1,0)+IF('Raw_Flags'!I17,1,0)</x:f>
        <x:v>1</x:v>
      </x:c>
      <x:c r="G17" s="13" t="n">
        <x:f>IF('Raw_Flags'!L17,1,0)+IF('Raw_Flags'!M17,1,0)</x:f>
        <x:v>2</x:v>
      </x:c>
      <x:c r="H17" s="13" t="str">
        <x:f>IF(AND(G17=1,'Raw_Flags'!P17&lt;&gt;""),"CHECK",IF(AND(G17=2,'Raw_Flags'!P17=""),"CHECK","PASS"))</x:f>
        <x:v>PASS</x:v>
      </x:c>
    </x:row>
    <x:row r="18">
      <x:c r="A18" s="2"/>
      <x:c r="B18" s="2"/>
      <x:c r="C18" s="2"/>
      <x:c r="D18" s="2"/>
      <x:c r="E18" s="13" t="n">
        <x:f>'Raw_Flags'!C18</x:f>
        <x:v>15</x:v>
      </x:c>
      <x:c r="F18" s="13" t="n">
        <x:f>IF('Raw_Flags'!D18,1,0)+IF('Raw_Flags'!E18,1,0)+IF('Raw_Flags'!F18,1,0)+IF('Raw_Flags'!G18,1,0)+IF('Raw_Flags'!H18,1,0)+IF('Raw_Flags'!I18,1,0)</x:f>
        <x:v>1</x:v>
      </x:c>
      <x:c r="G18" s="13" t="n">
        <x:f>IF('Raw_Flags'!L18,1,0)+IF('Raw_Flags'!M18,1,0)</x:f>
        <x:v>1</x:v>
      </x:c>
      <x:c r="H18" s="13" t="str">
        <x:f>IF(AND(G18=1,'Raw_Flags'!P18&lt;&gt;""),"CHECK",IF(AND(G18=2,'Raw_Flags'!P18=""),"CHECK","PASS"))</x:f>
        <x:v>PASS</x:v>
      </x:c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</x:sheetData>
  <x:mergeCells>
    <x:mergeCell ref="A1:H1"/>
  </x:mergeCells>
  <x:conditionalFormatting sqref="H4:H18">
    <x:cfRule type="cellIs" dxfId="20" priority="1" operator="equal">
      <x:formula>"PASS"</x:formula>
    </x:cfRule>
    <x:cfRule type="cellIs" dxfId="21" priority="2" operator="equal">
      <x:formula>"CHECK"</x:formula>
    </x:cfRule>
  </x:conditionalFormatting>
  <x:pageMargins left="0.7" right="0.7" top="0.75" bottom="0.75" header="0.3" footer="0.3"/>
  <x:legacyDrawing xmlns:r="http://schemas.openxmlformats.org/officeDocument/2006/relationships" r:id="R8bb1ce3ed0e6428c"/>
</x:worksheet>
</file>